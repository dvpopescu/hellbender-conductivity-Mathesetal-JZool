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athes/Desktop/"/>
    </mc:Choice>
  </mc:AlternateContent>
  <xr:revisionPtr revIDLastSave="0" documentId="13_ncr:9_{92026988-9406-B74A-80E8-A19D77E347B5}" xr6:coauthVersionLast="47" xr6:coauthVersionMax="47" xr10:uidLastSave="{00000000-0000-0000-0000-000000000000}"/>
  <bookViews>
    <workbookView xWindow="7560" yWindow="500" windowWidth="18040" windowHeight="11380" activeTab="1" xr2:uid="{00000000-000D-0000-FFFF-FFFF00000000}"/>
  </bookViews>
  <sheets>
    <sheet name="Sheet1" sheetId="1" r:id="rId1"/>
    <sheet name="Analysis" sheetId="2" r:id="rId2"/>
  </sheets>
  <definedNames>
    <definedName name="_xlnm._FilterDatabase" localSheetId="0" hidden="1">Sheet1!$A$1:$I$56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13" i="1" l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L23" i="1"/>
  <c r="P8" i="1"/>
  <c r="J2" i="1"/>
  <c r="K2" i="1"/>
  <c r="L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L11" i="1"/>
  <c r="P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L49" i="1"/>
  <c r="P6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L36" i="1"/>
  <c r="P5" i="1"/>
  <c r="L22" i="1"/>
  <c r="O8" i="1"/>
  <c r="L10" i="1"/>
  <c r="O7" i="1"/>
  <c r="L48" i="1"/>
  <c r="O6" i="1"/>
  <c r="L35" i="1"/>
  <c r="O5" i="1"/>
  <c r="J48" i="1"/>
  <c r="K48" i="1"/>
  <c r="J49" i="1"/>
  <c r="K49" i="1"/>
  <c r="J35" i="1"/>
  <c r="K35" i="1"/>
  <c r="J36" i="1"/>
  <c r="K36" i="1"/>
  <c r="J22" i="1"/>
  <c r="K22" i="1"/>
  <c r="J23" i="1"/>
  <c r="K23" i="1"/>
  <c r="K11" i="1"/>
  <c r="J11" i="1"/>
  <c r="K10" i="1"/>
  <c r="J10" i="1"/>
  <c r="P38" i="1"/>
  <c r="J51" i="1"/>
  <c r="Q38" i="1"/>
  <c r="P39" i="1"/>
  <c r="Q39" i="1"/>
  <c r="P40" i="1"/>
  <c r="Q40" i="1"/>
  <c r="P41" i="1"/>
  <c r="Q41" i="1"/>
  <c r="P42" i="1"/>
  <c r="Q42" i="1"/>
  <c r="P43" i="1"/>
  <c r="Q43" i="1"/>
  <c r="J53" i="1"/>
  <c r="P37" i="1"/>
  <c r="Q37" i="1"/>
  <c r="I49" i="1"/>
  <c r="I36" i="1"/>
  <c r="I23" i="1"/>
  <c r="I11" i="1"/>
  <c r="I48" i="1"/>
  <c r="I35" i="1"/>
  <c r="I22" i="1"/>
  <c r="I10" i="1"/>
</calcChain>
</file>

<file path=xl/sharedStrings.xml><?xml version="1.0" encoding="utf-8"?>
<sst xmlns="http://purl.oclc.org/ooxml/spreadsheetml/main" count="269" uniqueCount="188">
  <si>
    <t>Wells</t>
  </si>
  <si>
    <t>Mean Conc.</t>
  </si>
  <si>
    <t>Std.Dev.</t>
  </si>
  <si>
    <t>CV%</t>
  </si>
  <si>
    <t>Dilution</t>
  </si>
  <si>
    <t>1-1</t>
  </si>
  <si>
    <t>D3</t>
  </si>
  <si>
    <t>1-2</t>
  </si>
  <si>
    <t>E3</t>
  </si>
  <si>
    <t>10-1</t>
  </si>
  <si>
    <t>B11</t>
  </si>
  <si>
    <t>10-2</t>
  </si>
  <si>
    <t>C11</t>
  </si>
  <si>
    <t>10-3</t>
  </si>
  <si>
    <t>D11</t>
  </si>
  <si>
    <t>12-2</t>
  </si>
  <si>
    <t>B7</t>
  </si>
  <si>
    <t>13-2</t>
  </si>
  <si>
    <t>E11</t>
  </si>
  <si>
    <t>13-3</t>
  </si>
  <si>
    <t>F11</t>
  </si>
  <si>
    <t>14-2</t>
  </si>
  <si>
    <t>A5</t>
  </si>
  <si>
    <t>15-2</t>
  </si>
  <si>
    <t>E9</t>
  </si>
  <si>
    <t>16-1</t>
  </si>
  <si>
    <t>B5</t>
  </si>
  <si>
    <t>16-2</t>
  </si>
  <si>
    <t>C5</t>
  </si>
  <si>
    <t>17-2</t>
  </si>
  <si>
    <t>G11</t>
  </si>
  <si>
    <t>17-3</t>
  </si>
  <si>
    <t>H11</t>
  </si>
  <si>
    <t>18-2</t>
  </si>
  <si>
    <t>C7</t>
  </si>
  <si>
    <t>18-3</t>
  </si>
  <si>
    <t>D7</t>
  </si>
  <si>
    <t>19-2</t>
  </si>
  <si>
    <t>F9</t>
  </si>
  <si>
    <t>20-2</t>
  </si>
  <si>
    <t>D5</t>
  </si>
  <si>
    <t>20-3</t>
  </si>
  <si>
    <t>E5</t>
  </si>
  <si>
    <t>21-2</t>
  </si>
  <si>
    <t>G9</t>
  </si>
  <si>
    <t>23-1</t>
  </si>
  <si>
    <t>E7</t>
  </si>
  <si>
    <t>23-2</t>
  </si>
  <si>
    <t>F7</t>
  </si>
  <si>
    <t>23-3</t>
  </si>
  <si>
    <t>G7</t>
  </si>
  <si>
    <t>3-2</t>
  </si>
  <si>
    <t>F5</t>
  </si>
  <si>
    <t>4-2</t>
  </si>
  <si>
    <t>H9</t>
  </si>
  <si>
    <t>4-3</t>
  </si>
  <si>
    <t>A11</t>
  </si>
  <si>
    <t>5-1</t>
  </si>
  <si>
    <t>G5</t>
  </si>
  <si>
    <t>5-2</t>
  </si>
  <si>
    <t>H5</t>
  </si>
  <si>
    <t>5-3</t>
  </si>
  <si>
    <t>A7</t>
  </si>
  <si>
    <t>7-2</t>
  </si>
  <si>
    <t>F3</t>
  </si>
  <si>
    <t>8-2</t>
  </si>
  <si>
    <t>H7</t>
  </si>
  <si>
    <t>8-3</t>
  </si>
  <si>
    <t>A9</t>
  </si>
  <si>
    <t>8-4</t>
  </si>
  <si>
    <t>B9</t>
  </si>
  <si>
    <t>8-5</t>
  </si>
  <si>
    <t>C9</t>
  </si>
  <si>
    <t>8-6</t>
  </si>
  <si>
    <t>D9</t>
  </si>
  <si>
    <t>9-1</t>
  </si>
  <si>
    <t>G3</t>
  </si>
  <si>
    <t>9-2</t>
  </si>
  <si>
    <t>H3</t>
  </si>
  <si>
    <t>BO</t>
  </si>
  <si>
    <t>D1</t>
  </si>
  <si>
    <t>D2</t>
  </si>
  <si>
    <t>NSB</t>
  </si>
  <si>
    <t>C1</t>
  </si>
  <si>
    <t>Range?</t>
  </si>
  <si>
    <t>C2</t>
  </si>
  <si>
    <t>TA</t>
  </si>
  <si>
    <t>B1</t>
  </si>
  <si>
    <t>B2</t>
  </si>
  <si>
    <t>high-low</t>
  </si>
  <si>
    <t>low-high</t>
  </si>
  <si>
    <t>low</t>
  </si>
  <si>
    <t>high</t>
  </si>
  <si>
    <t>avg</t>
  </si>
  <si>
    <t>se</t>
  </si>
  <si>
    <t>low-to-high</t>
  </si>
  <si>
    <t>high-to-low</t>
  </si>
  <si>
    <t>std</t>
  </si>
  <si>
    <t>mean</t>
  </si>
  <si>
    <t>net OD</t>
  </si>
  <si>
    <t>% bound</t>
  </si>
  <si>
    <t>cort (pg/mL)</t>
  </si>
  <si>
    <t>Adj. Conc. (pg/mL)</t>
  </si>
  <si>
    <t>pg/uL</t>
  </si>
  <si>
    <t>pg/25uL (=80ug)</t>
  </si>
  <si>
    <t>pg/ug (or ng/mg) protein</t>
  </si>
  <si>
    <t>OD</t>
  </si>
  <si>
    <t>ID</t>
  </si>
  <si>
    <t>cond</t>
  </si>
  <si>
    <t>Table Analyzed</t>
  </si>
  <si>
    <t>Bender CORT (ng/ug)</t>
  </si>
  <si>
    <t>Data sets analyzed</t>
  </si>
  <si>
    <t>A-D</t>
  </si>
  <si>
    <t>ANOVA summary</t>
  </si>
  <si>
    <t>F</t>
  </si>
  <si>
    <t>P value</t>
  </si>
  <si>
    <t>P value summary</t>
  </si>
  <si>
    <t>ns</t>
  </si>
  <si>
    <t>Significant diff. among means (P &lt; 0.05)?</t>
  </si>
  <si>
    <t>No</t>
  </si>
  <si>
    <t>R squared</t>
  </si>
  <si>
    <t>Brown-Forsythe test</t>
  </si>
  <si>
    <t>F (DFn, DFd)</t>
  </si>
  <si>
    <t>0.7241 (3, 33)</t>
  </si>
  <si>
    <t>Are SDs significantly different (P &lt; 0.05)?</t>
  </si>
  <si>
    <t>Bartlett's test</t>
  </si>
  <si>
    <t>Bartlett's statistic (corrected)</t>
  </si>
  <si>
    <t>ANOVA table</t>
  </si>
  <si>
    <t>SS</t>
  </si>
  <si>
    <t>DF</t>
  </si>
  <si>
    <t>MS</t>
  </si>
  <si>
    <t>Treatment (between columns)</t>
  </si>
  <si>
    <t>F (3, 33) = 0.2843</t>
  </si>
  <si>
    <t>P=0.8364</t>
  </si>
  <si>
    <t>Residual (within columns)</t>
  </si>
  <si>
    <t>Total</t>
  </si>
  <si>
    <t>Data summary</t>
  </si>
  <si>
    <t>Number of treatments (columns)</t>
  </si>
  <si>
    <t>Number of values (total)</t>
  </si>
  <si>
    <t>Number of families</t>
  </si>
  <si>
    <t>Number of comparisons per family</t>
  </si>
  <si>
    <t>Alpha</t>
  </si>
  <si>
    <t>Tukey's multiple comparisons test</t>
  </si>
  <si>
    <t>Mean Diff.</t>
  </si>
  <si>
    <t>95.00% CI of diff.</t>
  </si>
  <si>
    <t>Significant?</t>
  </si>
  <si>
    <t>Summary</t>
  </si>
  <si>
    <t>Adjusted P Value</t>
  </si>
  <si>
    <t>Low vs. Low-to-High</t>
  </si>
  <si>
    <t>-0.1219 to 0.2433</t>
  </si>
  <si>
    <t>A-B</t>
  </si>
  <si>
    <t>Low vs. High</t>
  </si>
  <si>
    <t>-0.1753 to 0.2120</t>
  </si>
  <si>
    <t>A-C</t>
  </si>
  <si>
    <t>Low vs. High-to-Low</t>
  </si>
  <si>
    <t>-0.1659 to 0.2093</t>
  </si>
  <si>
    <t>Low-to-High vs. High</t>
  </si>
  <si>
    <t>-0.2360 to 0.1513</t>
  </si>
  <si>
    <t>B-C</t>
  </si>
  <si>
    <t>Low-to-High vs. High-to-Low</t>
  </si>
  <si>
    <t>-0.2266 to 0.1486</t>
  </si>
  <si>
    <t>B-D</t>
  </si>
  <si>
    <t>High vs. High-to-Low</t>
  </si>
  <si>
    <t>-0.1950 to 0.2018</t>
  </si>
  <si>
    <t>&gt;0.9999</t>
  </si>
  <si>
    <t>C-D</t>
  </si>
  <si>
    <t>Test details</t>
  </si>
  <si>
    <t>Mean 1</t>
  </si>
  <si>
    <t>Mean 2</t>
  </si>
  <si>
    <t>SE of diff.</t>
  </si>
  <si>
    <t>n1</t>
  </si>
  <si>
    <t>n2</t>
  </si>
  <si>
    <t>q</t>
  </si>
  <si>
    <t>Low</t>
  </si>
  <si>
    <t>Low-to-High</t>
  </si>
  <si>
    <t>High</t>
  </si>
  <si>
    <t>High-to-Low</t>
  </si>
  <si>
    <t>Number of values</t>
  </si>
  <si>
    <t>Minimum</t>
  </si>
  <si>
    <t>25% Percentile</t>
  </si>
  <si>
    <t>Median</t>
  </si>
  <si>
    <t>75% Percentile</t>
  </si>
  <si>
    <t>Maximum</t>
  </si>
  <si>
    <t>Mean</t>
  </si>
  <si>
    <t>Std. Deviation</t>
  </si>
  <si>
    <t>Std. Error of Mean</t>
  </si>
  <si>
    <t>Lower 95% CI</t>
  </si>
  <si>
    <t>Upper 95% CI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</si>
</sst>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>
    <font>
      <sz val="12"/>
      <color theme="1"/>
      <name val="Liberation Sans"/>
    </font>
    <font>
      <sz val="12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5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</cellXfs>
  <cellStyles count="19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purl.oclc.org/ooxml/officeDocument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12700"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Sheet1!$P$5:$P$8</c:f>
                <c:numCache>
                  <c:formatCode>General</c:formatCode>
                  <c:ptCount val="4"/>
                  <c:pt idx="0">
                    <c:v>5.1804162781554822E-2</c:v>
                  </c:pt>
                  <c:pt idx="1">
                    <c:v>4.6430021806909839E-2</c:v>
                  </c:pt>
                  <c:pt idx="2">
                    <c:v>6.5865061408216768E-2</c:v>
                  </c:pt>
                  <c:pt idx="3">
                    <c:v>3.1831078757983022E-2</c:v>
                  </c:pt>
                </c:numCache>
              </c:numRef>
            </c:plus>
            <c:minus>
              <c:numRef>
                <c:f>Sheet1!$P$5:$P$8</c:f>
                <c:numCache>
                  <c:formatCode>General</c:formatCode>
                  <c:ptCount val="4"/>
                  <c:pt idx="0">
                    <c:v>5.1804162781554822E-2</c:v>
                  </c:pt>
                  <c:pt idx="1">
                    <c:v>4.6430021806909839E-2</c:v>
                  </c:pt>
                  <c:pt idx="2">
                    <c:v>6.5865061408216768E-2</c:v>
                  </c:pt>
                  <c:pt idx="3">
                    <c:v>3.1831078757983022E-2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Sheet1!$N$5:$N$8</c:f>
              <c:strCache>
                <c:ptCount val="4"/>
                <c:pt idx="0">
                  <c:v>low</c:v>
                </c:pt>
                <c:pt idx="1">
                  <c:v>low-to-high</c:v>
                </c:pt>
                <c:pt idx="2">
                  <c:v>high</c:v>
                </c:pt>
                <c:pt idx="3">
                  <c:v>high-to-low</c:v>
                </c:pt>
              </c:strCache>
            </c:strRef>
          </c:cat>
          <c:val>
            <c:numRef>
              <c:f>Sheet1!$O$5:$O$8</c:f>
              <c:numCache>
                <c:formatCode>0.000</c:formatCode>
                <c:ptCount val="4"/>
                <c:pt idx="0">
                  <c:v>2.4536148750000004</c:v>
                </c:pt>
                <c:pt idx="1">
                  <c:v>2.39282471875</c:v>
                </c:pt>
                <c:pt idx="2">
                  <c:v>2.4353783984374999</c:v>
                </c:pt>
                <c:pt idx="3">
                  <c:v>2.4319223958333329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F-8A49-95ED-13B4EDA12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460048"/>
        <c:axId val="1548249744"/>
      </c:barChart>
      <c:catAx>
        <c:axId val="15484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9744"/>
        <c:crosses val="autoZero"/>
        <c:auto val="1"/>
        <c:lblAlgn val="ctr"/>
        <c:lblOffset val="100"/>
        <c:noMultiLvlLbl val="0"/>
      </c:catAx>
      <c:valAx>
        <c:axId val="154824974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Cortisol</a:t>
                </a:r>
                <a:r>
                  <a:rPr lang="en-US" baseline="0%">
                    <a:solidFill>
                      <a:schemeClr val="tx1"/>
                    </a:solidFill>
                  </a:rPr>
                  <a:t> (ng/g protein)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4152012248468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460048"/>
        <c:crosses val="autoZero"/>
        <c:crossBetween val="between"/>
        <c:majorUnit val="0.5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20">
  <a:schemeClr val="dk1"/>
  <cs:variation>
    <a:tint val="88.5%"/>
  </cs:variation>
  <cs:variation>
    <a:tint val="55%"/>
  </cs:variation>
  <cs:variation>
    <a:tint val="75%"/>
  </cs:variation>
  <cs:variation>
    <a:tint val="98.5%"/>
  </cs:variation>
  <cs:variation>
    <a:tint val="30%"/>
  </cs:variation>
  <cs:variation>
    <a:tint val="60%"/>
  </cs:variation>
  <cs:variation>
    <a:tint val="8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purl.oclc.org/ooxml/officeDocument/relationships/image" Target="../media/image1.emf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13</xdr:col>
      <xdr:colOff>698500</xdr:colOff>
      <xdr:row>10</xdr:row>
      <xdr:rowOff>12700</xdr:rowOff>
    </xdr:from>
    <xdr:to>
      <xdr:col>18</xdr:col>
      <xdr:colOff>279400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B07E7F-52BC-6428-394F-A4DC229B0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 editAs="oneCell">
    <xdr:from>
      <xdr:col>3</xdr:col>
      <xdr:colOff>177800</xdr:colOff>
      <xdr:row>3</xdr:row>
      <xdr:rowOff>88900</xdr:rowOff>
    </xdr:from>
    <xdr:to>
      <xdr:col>6</xdr:col>
      <xdr:colOff>520700</xdr:colOff>
      <xdr:row>19</xdr:row>
      <xdr:rowOff>25400</xdr:rowOff>
    </xdr:to>
    <xdr:sp macro="" textlink="">
      <xdr:nvSpPr>
        <xdr:cNvPr id="2050" name="Object 2">
          <a:extLst>
            <a:ext uri="{FF2B5EF4-FFF2-40B4-BE49-F238E27FC236}">
              <a16:creationId xmlns:a16="http://schemas.microsoft.com/office/drawing/2014/main" id="{8559DA4E-BDAA-ECBF-0E9A-55A199800852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%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purl.oclc.org/ooxml/drawingml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%">
            <a:schemeClr val="phClr">
              <a:lumMod val="110%"/>
              <a:satMod val="105%"/>
              <a:tint val="67%"/>
            </a:schemeClr>
          </a:gs>
          <a:gs pos="50%">
            <a:schemeClr val="phClr">
              <a:lumMod val="105%"/>
              <a:satMod val="103%"/>
              <a:tint val="73%"/>
            </a:schemeClr>
          </a:gs>
          <a:gs pos="100%">
            <a:schemeClr val="phClr">
              <a:lumMod val="105%"/>
              <a:satMod val="109%"/>
              <a:tint val="81%"/>
            </a:schemeClr>
          </a:gs>
        </a:gsLst>
        <a:lin ang="5400000" scaled="0"/>
      </a:gradFill>
      <a:gradFill rotWithShape="1">
        <a:gsLst>
          <a:gs pos="0%">
            <a:schemeClr val="phClr">
              <a:satMod val="103%"/>
              <a:lumMod val="102%"/>
              <a:tint val="94%"/>
            </a:schemeClr>
          </a:gs>
          <a:gs pos="50%">
            <a:schemeClr val="phClr">
              <a:satMod val="110%"/>
              <a:lumMod val="100%"/>
              <a:shade val="100%"/>
            </a:schemeClr>
          </a:gs>
          <a:gs pos="100%">
            <a:schemeClr val="phClr">
              <a:lumMod val="99%"/>
              <a:satMod val="120%"/>
              <a:shade val="78%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%"/>
      </a:ln>
      <a:ln w="12700" cap="flat" cmpd="sng" algn="ctr">
        <a:solidFill>
          <a:schemeClr val="phClr"/>
        </a:solidFill>
        <a:prstDash val="solid"/>
        <a:miter lim="800%"/>
      </a:ln>
      <a:ln w="19050" cap="flat" cmpd="sng" algn="ctr">
        <a:solidFill>
          <a:schemeClr val="phClr"/>
        </a:solidFill>
        <a:prstDash val="solid"/>
        <a:miter lim="800%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%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%"/>
          <a:satMod val="170%"/>
        </a:schemeClr>
      </a:solidFill>
      <a:gradFill rotWithShape="1">
        <a:gsLst>
          <a:gs pos="0%">
            <a:schemeClr val="phClr">
              <a:tint val="93%"/>
              <a:satMod val="150%"/>
              <a:shade val="98%"/>
              <a:lumMod val="102%"/>
            </a:schemeClr>
          </a:gs>
          <a:gs pos="50%">
            <a:schemeClr val="phClr">
              <a:tint val="98%"/>
              <a:satMod val="130%"/>
              <a:shade val="90%"/>
              <a:lumMod val="103%"/>
            </a:schemeClr>
          </a:gs>
          <a:gs pos="100%">
            <a:schemeClr val="phClr">
              <a:shade val="63%"/>
              <a:satMod val="120%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oleObject" Target="../embeddings/oleObject1.bin"/><Relationship Id="rId2" Type="http://schemas.openxmlformats.org/officeDocument/2006/relationships/vmlDrawing" Target="../drawings/vmlDrawing1.vml"/><Relationship Id="rId1" Type="http://purl.oclc.org/ooxml/officeDocument/relationships/drawing" Target="../drawings/drawing2.xml"/><Relationship Id="rId4" Type="http://purl.oclc.org/ooxml/officeDocument/relationships/image" Target="../media/image1.emf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workbookViewId="0">
      <selection activeCell="L38" sqref="L38:L47"/>
    </sheetView>
  </sheetViews>
  <sheetFormatPr baseColWidth="10" defaultColWidth="11.5" defaultRowHeight="16"/>
  <cols>
    <col min="1" max="1" width="4.6640625" bestFit="1" customWidth="1"/>
    <col min="2" max="2" width="7.33203125" bestFit="1" customWidth="1"/>
    <col min="3" max="3" width="7" bestFit="1" customWidth="1"/>
    <col min="4" max="4" width="6.5" bestFit="1" customWidth="1"/>
    <col min="5" max="5" width="12.1640625" bestFit="1" customWidth="1"/>
    <col min="6" max="6" width="9.5" bestFit="1" customWidth="1"/>
    <col min="7" max="7" width="7.1640625" bestFit="1" customWidth="1"/>
    <col min="8" max="8" width="8.5" bestFit="1" customWidth="1"/>
    <col min="9" max="9" width="13.6640625" customWidth="1"/>
    <col min="10" max="10" width="7.5" bestFit="1" customWidth="1"/>
    <col min="11" max="11" width="11.6640625" bestFit="1" customWidth="1"/>
    <col min="12" max="12" width="11" bestFit="1" customWidth="1"/>
  </cols>
  <sheetData>
    <row r="1" spans="1:16">
      <c r="A1" t="s">
        <v>107</v>
      </c>
      <c r="B1" t="s">
        <v>108</v>
      </c>
      <c r="C1" t="s">
        <v>0</v>
      </c>
      <c r="D1" t="s">
        <v>106</v>
      </c>
      <c r="E1" t="s">
        <v>1</v>
      </c>
      <c r="F1" t="s">
        <v>2</v>
      </c>
      <c r="G1" t="s">
        <v>3</v>
      </c>
      <c r="H1" t="s">
        <v>4</v>
      </c>
      <c r="I1" t="s">
        <v>102</v>
      </c>
      <c r="J1" t="s">
        <v>103</v>
      </c>
      <c r="K1" t="s">
        <v>104</v>
      </c>
      <c r="L1" t="s">
        <v>105</v>
      </c>
    </row>
    <row r="2" spans="1:16">
      <c r="A2" t="s">
        <v>37</v>
      </c>
      <c r="B2" t="s">
        <v>92</v>
      </c>
      <c r="C2" t="s">
        <v>38</v>
      </c>
      <c r="D2">
        <v>0.65200000000000002</v>
      </c>
      <c r="E2">
        <v>756.23599999999999</v>
      </c>
      <c r="F2">
        <v>52.3</v>
      </c>
      <c r="G2">
        <v>6.9</v>
      </c>
      <c r="H2">
        <v>10</v>
      </c>
      <c r="I2" s="2">
        <v>7562.3559999999998</v>
      </c>
      <c r="J2" s="2">
        <f>I2/1000</f>
        <v>7.5623559999999994</v>
      </c>
      <c r="K2" s="2">
        <f>J2*25</f>
        <v>189.05889999999999</v>
      </c>
      <c r="L2" s="2">
        <f>K2/80</f>
        <v>2.3632362499999999</v>
      </c>
    </row>
    <row r="3" spans="1:16">
      <c r="A3" t="s">
        <v>43</v>
      </c>
      <c r="B3" t="s">
        <v>92</v>
      </c>
      <c r="C3" t="s">
        <v>44</v>
      </c>
      <c r="D3">
        <v>0.64</v>
      </c>
      <c r="E3">
        <v>826.94500000000005</v>
      </c>
      <c r="F3">
        <v>28.79</v>
      </c>
      <c r="G3">
        <v>3.5</v>
      </c>
      <c r="H3">
        <v>10</v>
      </c>
      <c r="I3" s="2">
        <v>8269.4449999999997</v>
      </c>
      <c r="J3" s="2">
        <f t="shared" ref="J3:J9" si="0">I3/1000</f>
        <v>8.2694449999999993</v>
      </c>
      <c r="K3" s="2">
        <f t="shared" ref="K3:K9" si="1">J3*25</f>
        <v>206.73612499999999</v>
      </c>
      <c r="L3" s="2">
        <f t="shared" ref="L3:L9" si="2">K3/80</f>
        <v>2.5842015624999997</v>
      </c>
    </row>
    <row r="4" spans="1:16">
      <c r="A4" t="s">
        <v>65</v>
      </c>
      <c r="B4" t="s">
        <v>92</v>
      </c>
      <c r="C4" t="s">
        <v>66</v>
      </c>
      <c r="D4">
        <v>0.66700000000000004</v>
      </c>
      <c r="E4">
        <v>747.28700000000003</v>
      </c>
      <c r="F4">
        <v>27.553999999999998</v>
      </c>
      <c r="G4">
        <v>3.7</v>
      </c>
      <c r="H4">
        <v>10</v>
      </c>
      <c r="I4" s="2">
        <v>7472.8720000000003</v>
      </c>
      <c r="J4" s="2">
        <f t="shared" si="0"/>
        <v>7.4728720000000006</v>
      </c>
      <c r="K4" s="2">
        <f t="shared" si="1"/>
        <v>186.82180000000002</v>
      </c>
      <c r="L4" s="2">
        <f t="shared" si="2"/>
        <v>2.3352725000000003</v>
      </c>
      <c r="O4" t="s">
        <v>93</v>
      </c>
      <c r="P4" t="s">
        <v>94</v>
      </c>
    </row>
    <row r="5" spans="1:16">
      <c r="A5" t="s">
        <v>67</v>
      </c>
      <c r="B5" t="s">
        <v>92</v>
      </c>
      <c r="C5" t="s">
        <v>68</v>
      </c>
      <c r="D5">
        <v>0.66400000000000003</v>
      </c>
      <c r="E5">
        <v>704.72699999999998</v>
      </c>
      <c r="F5">
        <v>50.875999999999998</v>
      </c>
      <c r="G5">
        <v>7.2</v>
      </c>
      <c r="H5">
        <v>10</v>
      </c>
      <c r="I5" s="2">
        <v>7047.2690000000002</v>
      </c>
      <c r="J5" s="2">
        <f t="shared" si="0"/>
        <v>7.047269</v>
      </c>
      <c r="K5" s="2">
        <f t="shared" si="1"/>
        <v>176.181725</v>
      </c>
      <c r="L5" s="2">
        <f t="shared" si="2"/>
        <v>2.2022715625</v>
      </c>
      <c r="N5" t="s">
        <v>91</v>
      </c>
      <c r="O5" s="2">
        <f>L35</f>
        <v>2.4536148750000004</v>
      </c>
      <c r="P5" s="2">
        <f>L36</f>
        <v>5.1804162781554822E-2</v>
      </c>
    </row>
    <row r="6" spans="1:16">
      <c r="A6" t="s">
        <v>69</v>
      </c>
      <c r="B6" t="s">
        <v>92</v>
      </c>
      <c r="C6" t="s">
        <v>70</v>
      </c>
      <c r="D6">
        <v>0.629</v>
      </c>
      <c r="E6">
        <v>879.72699999999998</v>
      </c>
      <c r="F6">
        <v>26.364999999999998</v>
      </c>
      <c r="G6">
        <v>3</v>
      </c>
      <c r="H6">
        <v>10</v>
      </c>
      <c r="I6" s="2">
        <v>8797.2659999999996</v>
      </c>
      <c r="J6" s="2">
        <f t="shared" si="0"/>
        <v>8.7972660000000005</v>
      </c>
      <c r="K6" s="2">
        <f t="shared" si="1"/>
        <v>219.93165000000002</v>
      </c>
      <c r="L6" s="2">
        <f t="shared" si="2"/>
        <v>2.7491456250000001</v>
      </c>
      <c r="N6" t="s">
        <v>95</v>
      </c>
      <c r="O6" s="2">
        <f>L48</f>
        <v>2.39282471875</v>
      </c>
      <c r="P6" s="2">
        <f>L49</f>
        <v>4.6430021806909839E-2</v>
      </c>
    </row>
    <row r="7" spans="1:16">
      <c r="A7" t="s">
        <v>71</v>
      </c>
      <c r="B7" t="s">
        <v>92</v>
      </c>
      <c r="C7" t="s">
        <v>72</v>
      </c>
      <c r="D7">
        <v>0.66700000000000004</v>
      </c>
      <c r="E7">
        <v>762.73299999999995</v>
      </c>
      <c r="F7">
        <v>49.398000000000003</v>
      </c>
      <c r="G7">
        <v>6.5</v>
      </c>
      <c r="H7">
        <v>10</v>
      </c>
      <c r="I7" s="2">
        <v>7627.33</v>
      </c>
      <c r="J7" s="2">
        <f t="shared" si="0"/>
        <v>7.6273299999999997</v>
      </c>
      <c r="K7" s="2">
        <f t="shared" si="1"/>
        <v>190.68324999999999</v>
      </c>
      <c r="L7" s="2">
        <f t="shared" si="2"/>
        <v>2.3835406249999997</v>
      </c>
      <c r="N7" t="s">
        <v>92</v>
      </c>
      <c r="O7" s="2">
        <f>L10</f>
        <v>2.4353783984374999</v>
      </c>
      <c r="P7" s="2">
        <f>L11</f>
        <v>6.5865061408216768E-2</v>
      </c>
    </row>
    <row r="8" spans="1:16">
      <c r="A8" t="s">
        <v>73</v>
      </c>
      <c r="B8" t="s">
        <v>92</v>
      </c>
      <c r="C8" t="s">
        <v>74</v>
      </c>
      <c r="D8">
        <v>0.66900000000000004</v>
      </c>
      <c r="E8">
        <v>727.82299999999998</v>
      </c>
      <c r="F8">
        <v>12.119</v>
      </c>
      <c r="G8">
        <v>1.7</v>
      </c>
      <c r="H8">
        <v>10</v>
      </c>
      <c r="I8" s="2">
        <v>7278.23</v>
      </c>
      <c r="J8" s="2">
        <f t="shared" si="0"/>
        <v>7.2782299999999998</v>
      </c>
      <c r="K8" s="2">
        <f t="shared" si="1"/>
        <v>181.95574999999999</v>
      </c>
      <c r="L8" s="2">
        <f t="shared" si="2"/>
        <v>2.2744468749999998</v>
      </c>
      <c r="N8" t="s">
        <v>96</v>
      </c>
      <c r="O8" s="2">
        <f>L22</f>
        <v>2.4319223958333329</v>
      </c>
      <c r="P8" s="2">
        <f>L23</f>
        <v>3.1831078757983022E-2</v>
      </c>
    </row>
    <row r="9" spans="1:16">
      <c r="A9" t="s">
        <v>23</v>
      </c>
      <c r="B9" t="s">
        <v>92</v>
      </c>
      <c r="C9" t="s">
        <v>24</v>
      </c>
      <c r="D9">
        <v>0.64400000000000002</v>
      </c>
      <c r="E9">
        <v>829.09199999999998</v>
      </c>
      <c r="F9">
        <v>0</v>
      </c>
      <c r="G9">
        <v>0</v>
      </c>
      <c r="H9">
        <v>10</v>
      </c>
      <c r="I9" s="2">
        <v>8290.9189999999999</v>
      </c>
      <c r="J9" s="2">
        <f t="shared" si="0"/>
        <v>8.2909190000000006</v>
      </c>
      <c r="K9" s="2">
        <f t="shared" si="1"/>
        <v>207.272975</v>
      </c>
      <c r="L9" s="2">
        <f t="shared" si="2"/>
        <v>2.5909121874999999</v>
      </c>
    </row>
    <row r="10" spans="1:16">
      <c r="H10" t="s">
        <v>93</v>
      </c>
      <c r="I10" s="2">
        <f>AVERAGE(I2:I9)</f>
        <v>7793.2108749999998</v>
      </c>
      <c r="J10" s="2">
        <f t="shared" ref="J10:L10" si="3">AVERAGE(J2:J9)</f>
        <v>7.7932108750000006</v>
      </c>
      <c r="K10" s="2">
        <f t="shared" si="3"/>
        <v>194.83027187500002</v>
      </c>
      <c r="L10" s="2">
        <f t="shared" si="3"/>
        <v>2.4353783984374999</v>
      </c>
    </row>
    <row r="11" spans="1:16">
      <c r="H11" t="s">
        <v>94</v>
      </c>
      <c r="I11" s="2">
        <f>STDEV(I2:I9)/SQRT(COUNT(I2:I9))</f>
        <v>210.76819650629363</v>
      </c>
      <c r="J11" s="2">
        <f t="shared" ref="J11:L11" si="4">STDEV(J2:J9)/SQRT(COUNT(J2:J9))</f>
        <v>0.21076819650629372</v>
      </c>
      <c r="K11" s="2">
        <f t="shared" si="4"/>
        <v>5.2692049126573428</v>
      </c>
      <c r="L11" s="2">
        <f t="shared" si="4"/>
        <v>6.5865061408216768E-2</v>
      </c>
    </row>
    <row r="13" spans="1:16">
      <c r="A13" t="s">
        <v>9</v>
      </c>
      <c r="B13" t="s">
        <v>89</v>
      </c>
      <c r="C13" t="s">
        <v>10</v>
      </c>
      <c r="D13">
        <v>0.65200000000000002</v>
      </c>
      <c r="E13">
        <v>775.62900000000002</v>
      </c>
      <c r="F13">
        <v>24.873999999999999</v>
      </c>
      <c r="G13">
        <v>3.2</v>
      </c>
      <c r="H13">
        <v>10</v>
      </c>
      <c r="I13" s="2">
        <v>7756.2870000000003</v>
      </c>
      <c r="J13" s="2">
        <f>I13/1000</f>
        <v>7.7562870000000004</v>
      </c>
      <c r="K13" s="2">
        <f>J13*25</f>
        <v>193.907175</v>
      </c>
      <c r="L13" s="2">
        <f>K13/80</f>
        <v>2.4238396875000001</v>
      </c>
    </row>
    <row r="14" spans="1:16">
      <c r="A14" t="s">
        <v>11</v>
      </c>
      <c r="B14" t="s">
        <v>89</v>
      </c>
      <c r="C14" t="s">
        <v>12</v>
      </c>
      <c r="D14">
        <v>0.65100000000000002</v>
      </c>
      <c r="E14">
        <v>764.87800000000004</v>
      </c>
      <c r="F14">
        <v>46.365000000000002</v>
      </c>
      <c r="G14">
        <v>6.1</v>
      </c>
      <c r="H14">
        <v>10</v>
      </c>
      <c r="I14" s="2">
        <v>7648.7780000000002</v>
      </c>
      <c r="J14" s="2">
        <f t="shared" ref="J14:J21" si="5">I14/1000</f>
        <v>7.6487780000000001</v>
      </c>
      <c r="K14" s="2">
        <f t="shared" ref="K14:K21" si="6">J14*25</f>
        <v>191.21944999999999</v>
      </c>
      <c r="L14" s="2">
        <f t="shared" ref="L14:L21" si="7">K14/80</f>
        <v>2.390243125</v>
      </c>
    </row>
    <row r="15" spans="1:16">
      <c r="A15" t="s">
        <v>13</v>
      </c>
      <c r="B15" t="s">
        <v>89</v>
      </c>
      <c r="C15" t="s">
        <v>14</v>
      </c>
      <c r="D15">
        <v>0.65900000000000003</v>
      </c>
      <c r="E15">
        <v>771.173</v>
      </c>
      <c r="F15">
        <v>12.407</v>
      </c>
      <c r="G15">
        <v>1.6</v>
      </c>
      <c r="H15">
        <v>10</v>
      </c>
      <c r="I15" s="2">
        <v>7711.7330000000002</v>
      </c>
      <c r="J15" s="2">
        <f t="shared" si="5"/>
        <v>7.7117330000000006</v>
      </c>
      <c r="K15" s="2">
        <f t="shared" si="6"/>
        <v>192.79332500000001</v>
      </c>
      <c r="L15" s="2">
        <f t="shared" si="7"/>
        <v>2.4099165625000003</v>
      </c>
    </row>
    <row r="16" spans="1:16">
      <c r="A16" t="s">
        <v>17</v>
      </c>
      <c r="B16" t="s">
        <v>89</v>
      </c>
      <c r="C16" t="s">
        <v>18</v>
      </c>
      <c r="D16">
        <v>0.64400000000000002</v>
      </c>
      <c r="E16">
        <v>767.79700000000003</v>
      </c>
      <c r="F16">
        <v>86.683999999999997</v>
      </c>
      <c r="G16">
        <v>11.3</v>
      </c>
      <c r="H16">
        <v>10</v>
      </c>
      <c r="I16" s="2">
        <v>7677.9690000000001</v>
      </c>
      <c r="J16" s="2">
        <f t="shared" si="5"/>
        <v>7.677969</v>
      </c>
      <c r="K16" s="2">
        <f t="shared" si="6"/>
        <v>191.94922500000001</v>
      </c>
      <c r="L16" s="2">
        <f t="shared" si="7"/>
        <v>2.3993653125000001</v>
      </c>
    </row>
    <row r="17" spans="1:12">
      <c r="A17" t="s">
        <v>19</v>
      </c>
      <c r="B17" t="s">
        <v>89</v>
      </c>
      <c r="C17" t="s">
        <v>20</v>
      </c>
      <c r="D17">
        <v>0.65800000000000003</v>
      </c>
      <c r="E17">
        <v>766.77099999999996</v>
      </c>
      <c r="F17">
        <v>0</v>
      </c>
      <c r="G17">
        <v>0</v>
      </c>
      <c r="H17">
        <v>10</v>
      </c>
      <c r="I17" s="2">
        <v>7667.7110000000002</v>
      </c>
      <c r="J17" s="2">
        <f t="shared" si="5"/>
        <v>7.6677110000000006</v>
      </c>
      <c r="K17" s="2">
        <f t="shared" si="6"/>
        <v>191.69277500000001</v>
      </c>
      <c r="L17" s="2">
        <f t="shared" si="7"/>
        <v>2.3961596875</v>
      </c>
    </row>
    <row r="18" spans="1:12">
      <c r="A18" t="s">
        <v>29</v>
      </c>
      <c r="B18" t="s">
        <v>89</v>
      </c>
      <c r="C18" t="s">
        <v>30</v>
      </c>
      <c r="D18">
        <v>0.65500000000000003</v>
      </c>
      <c r="E18">
        <v>797.75099999999998</v>
      </c>
      <c r="F18">
        <v>25.178999999999998</v>
      </c>
      <c r="G18">
        <v>3.2</v>
      </c>
      <c r="H18">
        <v>10</v>
      </c>
      <c r="I18" s="2">
        <v>7977.5050000000001</v>
      </c>
      <c r="J18" s="2">
        <f t="shared" si="5"/>
        <v>7.9775049999999998</v>
      </c>
      <c r="K18" s="2">
        <f t="shared" si="6"/>
        <v>199.437625</v>
      </c>
      <c r="L18" s="2">
        <f t="shared" si="7"/>
        <v>2.4929703124999998</v>
      </c>
    </row>
    <row r="19" spans="1:12">
      <c r="A19" t="s">
        <v>31</v>
      </c>
      <c r="B19" t="s">
        <v>89</v>
      </c>
      <c r="C19" t="s">
        <v>32</v>
      </c>
      <c r="D19">
        <v>0.65</v>
      </c>
      <c r="E19">
        <v>813.34400000000005</v>
      </c>
      <c r="F19">
        <v>15.874000000000001</v>
      </c>
      <c r="G19">
        <v>2</v>
      </c>
      <c r="H19">
        <v>10</v>
      </c>
      <c r="I19" s="2">
        <v>8133.4359999999997</v>
      </c>
      <c r="J19" s="2">
        <f t="shared" si="5"/>
        <v>8.1334359999999997</v>
      </c>
      <c r="K19" s="2">
        <f t="shared" si="6"/>
        <v>203.33589999999998</v>
      </c>
      <c r="L19" s="2">
        <f t="shared" si="7"/>
        <v>2.5416987499999997</v>
      </c>
    </row>
    <row r="20" spans="1:12">
      <c r="A20" t="s">
        <v>53</v>
      </c>
      <c r="B20" t="s">
        <v>89</v>
      </c>
      <c r="C20" t="s">
        <v>54</v>
      </c>
      <c r="D20">
        <v>0.63700000000000001</v>
      </c>
      <c r="E20">
        <v>824.93299999999999</v>
      </c>
      <c r="F20">
        <v>51.125</v>
      </c>
      <c r="G20">
        <v>6.2</v>
      </c>
      <c r="H20">
        <v>10</v>
      </c>
      <c r="I20" s="2">
        <v>8249.3340000000007</v>
      </c>
      <c r="J20" s="2">
        <f t="shared" si="5"/>
        <v>8.2493340000000011</v>
      </c>
      <c r="K20" s="2">
        <f t="shared" si="6"/>
        <v>206.23335000000003</v>
      </c>
      <c r="L20" s="2">
        <f t="shared" si="7"/>
        <v>2.5779168750000006</v>
      </c>
    </row>
    <row r="21" spans="1:12">
      <c r="A21" t="s">
        <v>55</v>
      </c>
      <c r="B21" t="s">
        <v>89</v>
      </c>
      <c r="C21" t="s">
        <v>56</v>
      </c>
      <c r="D21">
        <v>0.66100000000000003</v>
      </c>
      <c r="E21">
        <v>721.66099999999994</v>
      </c>
      <c r="F21">
        <v>45.295999999999999</v>
      </c>
      <c r="G21">
        <v>6.3</v>
      </c>
      <c r="H21">
        <v>10</v>
      </c>
      <c r="I21" s="2">
        <v>7216.6120000000001</v>
      </c>
      <c r="J21" s="2">
        <f t="shared" si="5"/>
        <v>7.2166120000000005</v>
      </c>
      <c r="K21" s="2">
        <f t="shared" si="6"/>
        <v>180.4153</v>
      </c>
      <c r="L21" s="2">
        <f t="shared" si="7"/>
        <v>2.2551912500000002</v>
      </c>
    </row>
    <row r="22" spans="1:12">
      <c r="H22" t="s">
        <v>93</v>
      </c>
      <c r="I22" s="2">
        <f>AVERAGE(I13:I21)</f>
        <v>7782.1516666666676</v>
      </c>
      <c r="J22" s="2">
        <f t="shared" ref="J22:L22" si="8">AVERAGE(J13:J21)</f>
        <v>7.7821516666666675</v>
      </c>
      <c r="K22" s="2">
        <f t="shared" si="8"/>
        <v>194.55379166666665</v>
      </c>
      <c r="L22" s="2">
        <f t="shared" si="8"/>
        <v>2.4319223958333329</v>
      </c>
    </row>
    <row r="23" spans="1:12">
      <c r="H23" t="s">
        <v>94</v>
      </c>
      <c r="I23" s="2">
        <f>STDEV(I13:I21)/SQRT(COUNT(I13:I21))</f>
        <v>101.85945202554571</v>
      </c>
      <c r="J23" s="2">
        <f t="shared" ref="J23:L23" si="9">STDEV(J13:J21)/SQRT(COUNT(J13:J21))</f>
        <v>0.10185945202554569</v>
      </c>
      <c r="K23" s="2">
        <f t="shared" si="9"/>
        <v>2.5464863006386427</v>
      </c>
      <c r="L23" s="2">
        <f t="shared" si="9"/>
        <v>3.1831078757983022E-2</v>
      </c>
    </row>
    <row r="25" spans="1:12">
      <c r="A25" t="s">
        <v>5</v>
      </c>
      <c r="B25" t="s">
        <v>91</v>
      </c>
      <c r="C25" t="s">
        <v>6</v>
      </c>
      <c r="D25">
        <v>0.63300000000000001</v>
      </c>
      <c r="E25">
        <v>829.78700000000003</v>
      </c>
      <c r="F25">
        <v>70.486000000000004</v>
      </c>
      <c r="G25">
        <v>8.5</v>
      </c>
      <c r="H25">
        <v>10</v>
      </c>
      <c r="I25" s="2">
        <v>8297.8700000000008</v>
      </c>
      <c r="J25" s="2">
        <f>I25/1000</f>
        <v>8.2978700000000014</v>
      </c>
      <c r="K25" s="2">
        <f>J25*25</f>
        <v>207.44675000000004</v>
      </c>
      <c r="L25" s="2">
        <f>K25/80</f>
        <v>2.5930843750000006</v>
      </c>
    </row>
    <row r="26" spans="1:12">
      <c r="A26" t="s">
        <v>7</v>
      </c>
      <c r="B26" t="s">
        <v>91</v>
      </c>
      <c r="C26" t="s">
        <v>8</v>
      </c>
      <c r="D26">
        <v>0.66500000000000004</v>
      </c>
      <c r="E26">
        <v>773.72900000000004</v>
      </c>
      <c r="F26">
        <v>52.802</v>
      </c>
      <c r="G26">
        <v>6.8</v>
      </c>
      <c r="H26">
        <v>10</v>
      </c>
      <c r="I26" s="2">
        <v>7737.2870000000003</v>
      </c>
      <c r="J26" s="2">
        <f t="shared" ref="J26:J34" si="10">I26/1000</f>
        <v>7.7372870000000002</v>
      </c>
      <c r="K26" s="2">
        <f t="shared" ref="K26:K34" si="11">J26*25</f>
        <v>193.432175</v>
      </c>
      <c r="L26" s="2">
        <f t="shared" ref="L26:L34" si="12">K26/80</f>
        <v>2.4179021875000002</v>
      </c>
    </row>
    <row r="27" spans="1:12">
      <c r="A27" t="s">
        <v>21</v>
      </c>
      <c r="B27" t="s">
        <v>91</v>
      </c>
      <c r="C27" t="s">
        <v>22</v>
      </c>
      <c r="D27">
        <v>0.64300000000000002</v>
      </c>
      <c r="E27">
        <v>882.64200000000005</v>
      </c>
      <c r="F27">
        <v>69.317999999999998</v>
      </c>
      <c r="G27">
        <v>7.9</v>
      </c>
      <c r="H27">
        <v>10</v>
      </c>
      <c r="I27" s="2">
        <v>8826.4230000000007</v>
      </c>
      <c r="J27" s="2">
        <f t="shared" si="10"/>
        <v>8.8264230000000001</v>
      </c>
      <c r="K27" s="2">
        <f t="shared" si="11"/>
        <v>220.66057499999999</v>
      </c>
      <c r="L27" s="2">
        <f t="shared" si="12"/>
        <v>2.7582571874999999</v>
      </c>
    </row>
    <row r="28" spans="1:12">
      <c r="A28" t="s">
        <v>25</v>
      </c>
      <c r="B28" t="s">
        <v>91</v>
      </c>
      <c r="C28" t="s">
        <v>26</v>
      </c>
      <c r="D28">
        <v>0.65300000000000002</v>
      </c>
      <c r="E28">
        <v>811.20500000000004</v>
      </c>
      <c r="F28">
        <v>31.71</v>
      </c>
      <c r="G28">
        <v>3.9</v>
      </c>
      <c r="H28">
        <v>10</v>
      </c>
      <c r="I28" s="2">
        <v>8112.05</v>
      </c>
      <c r="J28" s="2">
        <f t="shared" si="10"/>
        <v>8.11205</v>
      </c>
      <c r="K28" s="2">
        <f t="shared" si="11"/>
        <v>202.80125000000001</v>
      </c>
      <c r="L28" s="2">
        <f t="shared" si="12"/>
        <v>2.5350156250000002</v>
      </c>
    </row>
    <row r="29" spans="1:12">
      <c r="A29" t="s">
        <v>27</v>
      </c>
      <c r="B29" t="s">
        <v>91</v>
      </c>
      <c r="C29" t="s">
        <v>28</v>
      </c>
      <c r="D29">
        <v>0.65600000000000003</v>
      </c>
      <c r="E29">
        <v>784.38099999999997</v>
      </c>
      <c r="F29">
        <v>12.497</v>
      </c>
      <c r="G29">
        <v>1.6</v>
      </c>
      <c r="H29">
        <v>10</v>
      </c>
      <c r="I29" s="2">
        <v>7843.8059999999996</v>
      </c>
      <c r="J29" s="2">
        <f t="shared" si="10"/>
        <v>7.8438059999999998</v>
      </c>
      <c r="K29" s="2">
        <f t="shared" si="11"/>
        <v>196.09514999999999</v>
      </c>
      <c r="L29" s="2">
        <f t="shared" si="12"/>
        <v>2.4511893749999998</v>
      </c>
    </row>
    <row r="30" spans="1:12">
      <c r="A30" t="s">
        <v>39</v>
      </c>
      <c r="B30" t="s">
        <v>91</v>
      </c>
      <c r="C30" t="s">
        <v>40</v>
      </c>
      <c r="D30">
        <v>0.65600000000000003</v>
      </c>
      <c r="E30">
        <v>775.54399999999998</v>
      </c>
      <c r="F30">
        <v>0</v>
      </c>
      <c r="G30">
        <v>0</v>
      </c>
      <c r="H30">
        <v>10</v>
      </c>
      <c r="I30" s="2">
        <v>7755.4390000000003</v>
      </c>
      <c r="J30" s="2">
        <f t="shared" si="10"/>
        <v>7.755439</v>
      </c>
      <c r="K30" s="2">
        <f t="shared" si="11"/>
        <v>193.885975</v>
      </c>
      <c r="L30" s="2">
        <f t="shared" si="12"/>
        <v>2.4235746874999999</v>
      </c>
    </row>
    <row r="31" spans="1:12">
      <c r="A31" t="s">
        <v>41</v>
      </c>
      <c r="B31" t="s">
        <v>91</v>
      </c>
      <c r="C31" t="s">
        <v>42</v>
      </c>
      <c r="D31">
        <v>0.68</v>
      </c>
      <c r="E31">
        <v>713.3</v>
      </c>
      <c r="F31">
        <v>57.12</v>
      </c>
      <c r="G31">
        <v>8</v>
      </c>
      <c r="H31">
        <v>10</v>
      </c>
      <c r="I31" s="2">
        <v>7133.0020000000004</v>
      </c>
      <c r="J31" s="2">
        <f t="shared" si="10"/>
        <v>7.1330020000000003</v>
      </c>
      <c r="K31" s="2">
        <f t="shared" si="11"/>
        <v>178.32505</v>
      </c>
      <c r="L31" s="2">
        <f t="shared" si="12"/>
        <v>2.2290631250000001</v>
      </c>
    </row>
    <row r="32" spans="1:12">
      <c r="A32" t="s">
        <v>63</v>
      </c>
      <c r="B32" t="s">
        <v>91</v>
      </c>
      <c r="C32" t="s">
        <v>64</v>
      </c>
      <c r="D32">
        <v>0.66100000000000003</v>
      </c>
      <c r="E32">
        <v>700.89200000000005</v>
      </c>
      <c r="F32">
        <v>74.667000000000002</v>
      </c>
      <c r="G32">
        <v>10.7</v>
      </c>
      <c r="H32">
        <v>10</v>
      </c>
      <c r="I32" s="2">
        <v>7008.9229999999998</v>
      </c>
      <c r="J32" s="2">
        <f t="shared" si="10"/>
        <v>7.0089229999999993</v>
      </c>
      <c r="K32" s="2">
        <f t="shared" si="11"/>
        <v>175.22307499999999</v>
      </c>
      <c r="L32" s="2">
        <f t="shared" si="12"/>
        <v>2.1902884375</v>
      </c>
    </row>
    <row r="33" spans="1:18">
      <c r="A33" t="s">
        <v>75</v>
      </c>
      <c r="B33" t="s">
        <v>91</v>
      </c>
      <c r="C33" t="s">
        <v>76</v>
      </c>
      <c r="D33">
        <v>0.64500000000000002</v>
      </c>
      <c r="E33">
        <v>793.48400000000004</v>
      </c>
      <c r="F33">
        <v>43.959000000000003</v>
      </c>
      <c r="G33">
        <v>5.5</v>
      </c>
      <c r="H33">
        <v>10</v>
      </c>
      <c r="I33" s="2">
        <v>7934.8429999999998</v>
      </c>
      <c r="J33" s="2">
        <f t="shared" si="10"/>
        <v>7.9348429999999999</v>
      </c>
      <c r="K33" s="2">
        <f t="shared" si="11"/>
        <v>198.37107499999999</v>
      </c>
      <c r="L33" s="2">
        <f t="shared" si="12"/>
        <v>2.4796384374999998</v>
      </c>
    </row>
    <row r="34" spans="1:18">
      <c r="A34" t="s">
        <v>77</v>
      </c>
      <c r="B34" t="s">
        <v>91</v>
      </c>
      <c r="C34" t="s">
        <v>78</v>
      </c>
      <c r="D34">
        <v>0.65100000000000002</v>
      </c>
      <c r="E34">
        <v>786.60299999999995</v>
      </c>
      <c r="F34">
        <v>15.64</v>
      </c>
      <c r="G34">
        <v>2</v>
      </c>
      <c r="H34">
        <v>10</v>
      </c>
      <c r="I34" s="2">
        <v>7866.0330000000004</v>
      </c>
      <c r="J34" s="2">
        <f t="shared" si="10"/>
        <v>7.8660330000000007</v>
      </c>
      <c r="K34" s="2">
        <f t="shared" si="11"/>
        <v>196.65082500000003</v>
      </c>
      <c r="L34" s="2">
        <f t="shared" si="12"/>
        <v>2.4581353125000005</v>
      </c>
    </row>
    <row r="35" spans="1:18">
      <c r="H35" t="s">
        <v>93</v>
      </c>
      <c r="I35" s="2">
        <f>AVERAGE(I25:I34)</f>
        <v>7851.5675999999994</v>
      </c>
      <c r="J35" s="2">
        <f t="shared" ref="J35:L35" si="13">AVERAGE(J25:J34)</f>
        <v>7.8515676000000001</v>
      </c>
      <c r="K35" s="2">
        <f t="shared" si="13"/>
        <v>196.28918999999999</v>
      </c>
      <c r="L35" s="2">
        <f t="shared" si="13"/>
        <v>2.4536148750000004</v>
      </c>
    </row>
    <row r="36" spans="1:18">
      <c r="H36" t="s">
        <v>94</v>
      </c>
      <c r="I36" s="2">
        <f>STDEV(I25:I34)/SQRT(COUNT(I25:I34))</f>
        <v>165.77332090097548</v>
      </c>
      <c r="J36" s="2">
        <f t="shared" ref="J36:L36" si="14">STDEV(J25:J34)/SQRT(COUNT(J25:J34))</f>
        <v>0.16577332090097549</v>
      </c>
      <c r="K36" s="2">
        <f t="shared" si="14"/>
        <v>4.1443330225243873</v>
      </c>
      <c r="L36" s="2">
        <f t="shared" si="14"/>
        <v>5.1804162781554822E-2</v>
      </c>
      <c r="N36" t="s">
        <v>97</v>
      </c>
      <c r="O36" t="s">
        <v>98</v>
      </c>
      <c r="P36" t="s">
        <v>99</v>
      </c>
      <c r="Q36" t="s">
        <v>100</v>
      </c>
      <c r="R36" t="s">
        <v>101</v>
      </c>
    </row>
    <row r="37" spans="1:18">
      <c r="N37">
        <v>1</v>
      </c>
      <c r="O37" s="2">
        <v>0.186</v>
      </c>
      <c r="P37" s="2">
        <f t="shared" ref="P37:P43" si="15">O37+J53</f>
        <v>0.17849999999999999</v>
      </c>
      <c r="Q37" s="1">
        <f>P37/$J$51*100</f>
        <v>21.428571428571427</v>
      </c>
      <c r="R37" s="3">
        <v>10000</v>
      </c>
    </row>
    <row r="38" spans="1:18">
      <c r="A38" t="s">
        <v>15</v>
      </c>
      <c r="B38" t="s">
        <v>90</v>
      </c>
      <c r="C38" t="s">
        <v>16</v>
      </c>
      <c r="D38">
        <v>0.64900000000000002</v>
      </c>
      <c r="E38">
        <v>765.05499999999995</v>
      </c>
      <c r="F38">
        <v>58.734000000000002</v>
      </c>
      <c r="G38">
        <v>7.7</v>
      </c>
      <c r="H38">
        <v>10</v>
      </c>
      <c r="I38" s="2">
        <v>7650.5510000000004</v>
      </c>
      <c r="J38" s="2">
        <f>I38/1000</f>
        <v>7.6505510000000001</v>
      </c>
      <c r="K38" s="2">
        <f>J38*25</f>
        <v>191.26377500000001</v>
      </c>
      <c r="L38" s="2">
        <f>K38/80</f>
        <v>2.3907971875</v>
      </c>
      <c r="N38">
        <v>2</v>
      </c>
      <c r="O38" s="2">
        <v>0.27800000000000002</v>
      </c>
      <c r="P38" s="2">
        <f t="shared" si="15"/>
        <v>0.27800000000000002</v>
      </c>
      <c r="Q38" s="1">
        <f t="shared" ref="Q38:Q43" si="16">P38/$J$51*100</f>
        <v>33.373349339735896</v>
      </c>
      <c r="R38">
        <v>5000</v>
      </c>
    </row>
    <row r="39" spans="1:18">
      <c r="A39" t="s">
        <v>33</v>
      </c>
      <c r="B39" t="s">
        <v>90</v>
      </c>
      <c r="C39" t="s">
        <v>34</v>
      </c>
      <c r="D39">
        <v>0.65700000000000003</v>
      </c>
      <c r="E39">
        <v>749.47799999999995</v>
      </c>
      <c r="F39">
        <v>30.652000000000001</v>
      </c>
      <c r="G39">
        <v>4.0999999999999996</v>
      </c>
      <c r="H39">
        <v>10</v>
      </c>
      <c r="I39" s="2">
        <v>7494.7780000000002</v>
      </c>
      <c r="J39" s="2">
        <f t="shared" ref="J39:J47" si="17">I39/1000</f>
        <v>7.4947780000000002</v>
      </c>
      <c r="K39" s="2">
        <f t="shared" ref="K39:K47" si="18">J39*25</f>
        <v>187.36945</v>
      </c>
      <c r="L39" s="2">
        <f t="shared" ref="L39:L47" si="19">K39/80</f>
        <v>2.3421181249999998</v>
      </c>
      <c r="N39">
        <v>3</v>
      </c>
      <c r="O39" s="2">
        <v>0.39200000000000002</v>
      </c>
      <c r="P39" s="2">
        <f t="shared" si="15"/>
        <v>0.39200000000000002</v>
      </c>
      <c r="Q39" s="1">
        <f t="shared" si="16"/>
        <v>47.058823529411768</v>
      </c>
      <c r="R39">
        <v>2500</v>
      </c>
    </row>
    <row r="40" spans="1:18">
      <c r="A40" t="s">
        <v>35</v>
      </c>
      <c r="B40" t="s">
        <v>90</v>
      </c>
      <c r="C40" t="s">
        <v>36</v>
      </c>
      <c r="D40">
        <v>0.67</v>
      </c>
      <c r="E40">
        <v>725.69299999999998</v>
      </c>
      <c r="F40">
        <v>15.131</v>
      </c>
      <c r="G40">
        <v>2.1</v>
      </c>
      <c r="H40">
        <v>10</v>
      </c>
      <c r="I40" s="2">
        <v>7256.9290000000001</v>
      </c>
      <c r="J40" s="2">
        <f t="shared" si="17"/>
        <v>7.2569290000000004</v>
      </c>
      <c r="K40" s="2">
        <f t="shared" si="18"/>
        <v>181.423225</v>
      </c>
      <c r="L40" s="2">
        <f t="shared" si="19"/>
        <v>2.2677903124999998</v>
      </c>
      <c r="N40">
        <v>4</v>
      </c>
      <c r="O40" s="2">
        <v>0.57799999999999996</v>
      </c>
      <c r="P40" s="2">
        <f t="shared" si="15"/>
        <v>0.57799999999999996</v>
      </c>
      <c r="Q40" s="1">
        <f t="shared" si="16"/>
        <v>69.387755102040813</v>
      </c>
      <c r="R40">
        <v>1250</v>
      </c>
    </row>
    <row r="41" spans="1:18">
      <c r="A41" t="s">
        <v>45</v>
      </c>
      <c r="B41" t="s">
        <v>90</v>
      </c>
      <c r="C41" t="s">
        <v>46</v>
      </c>
      <c r="D41">
        <v>0.66700000000000004</v>
      </c>
      <c r="E41">
        <v>758.29300000000001</v>
      </c>
      <c r="F41">
        <v>43.119</v>
      </c>
      <c r="G41">
        <v>5.7</v>
      </c>
      <c r="H41">
        <v>10</v>
      </c>
      <c r="I41" s="2">
        <v>7582.9309999999996</v>
      </c>
      <c r="J41" s="2">
        <f t="shared" si="17"/>
        <v>7.5829309999999994</v>
      </c>
      <c r="K41" s="2">
        <f t="shared" si="18"/>
        <v>189.573275</v>
      </c>
      <c r="L41" s="2">
        <f t="shared" si="19"/>
        <v>2.3696659374999998</v>
      </c>
      <c r="N41">
        <v>5</v>
      </c>
      <c r="O41" s="2">
        <v>0.68300000000000005</v>
      </c>
      <c r="P41" s="2">
        <f t="shared" si="15"/>
        <v>0.68300000000000005</v>
      </c>
      <c r="Q41" s="1">
        <f t="shared" si="16"/>
        <v>81.992797118847548</v>
      </c>
      <c r="R41">
        <v>625</v>
      </c>
    </row>
    <row r="42" spans="1:18">
      <c r="A42" t="s">
        <v>47</v>
      </c>
      <c r="B42" t="s">
        <v>90</v>
      </c>
      <c r="C42" t="s">
        <v>48</v>
      </c>
      <c r="D42">
        <v>0.66900000000000004</v>
      </c>
      <c r="E42">
        <v>740.827</v>
      </c>
      <c r="F42">
        <v>30.509</v>
      </c>
      <c r="G42">
        <v>4.0999999999999996</v>
      </c>
      <c r="H42">
        <v>10</v>
      </c>
      <c r="I42" s="2">
        <v>7408.2709999999997</v>
      </c>
      <c r="J42" s="2">
        <f t="shared" si="17"/>
        <v>7.4082710000000001</v>
      </c>
      <c r="K42" s="2">
        <f t="shared" si="18"/>
        <v>185.20677499999999</v>
      </c>
      <c r="L42" s="2">
        <f t="shared" si="19"/>
        <v>2.3150846874999997</v>
      </c>
      <c r="N42">
        <v>6</v>
      </c>
      <c r="O42" s="2">
        <v>0.77</v>
      </c>
      <c r="P42" s="2">
        <f t="shared" si="15"/>
        <v>0.77</v>
      </c>
      <c r="Q42" s="1">
        <f t="shared" si="16"/>
        <v>92.436974789915965</v>
      </c>
      <c r="R42">
        <v>313</v>
      </c>
    </row>
    <row r="43" spans="1:18">
      <c r="A43" t="s">
        <v>49</v>
      </c>
      <c r="B43" t="s">
        <v>90</v>
      </c>
      <c r="C43" t="s">
        <v>50</v>
      </c>
      <c r="D43">
        <v>0.66200000000000003</v>
      </c>
      <c r="E43">
        <v>764.64800000000002</v>
      </c>
      <c r="F43">
        <v>21.634</v>
      </c>
      <c r="G43">
        <v>2.8</v>
      </c>
      <c r="H43">
        <v>10</v>
      </c>
      <c r="I43" s="2">
        <v>7646.4830000000002</v>
      </c>
      <c r="J43" s="2">
        <f t="shared" si="17"/>
        <v>7.6464829999999999</v>
      </c>
      <c r="K43" s="2">
        <f t="shared" si="18"/>
        <v>191.16207499999999</v>
      </c>
      <c r="L43" s="2">
        <f t="shared" si="19"/>
        <v>2.3895259374999998</v>
      </c>
      <c r="N43">
        <v>7</v>
      </c>
      <c r="O43" s="2">
        <v>0.82099999999999995</v>
      </c>
      <c r="P43" s="2">
        <f t="shared" si="15"/>
        <v>0.82099999999999995</v>
      </c>
      <c r="Q43" s="1">
        <f t="shared" si="16"/>
        <v>98.559423769507802</v>
      </c>
      <c r="R43">
        <v>156</v>
      </c>
    </row>
    <row r="44" spans="1:18">
      <c r="A44" t="s">
        <v>51</v>
      </c>
      <c r="B44" t="s">
        <v>90</v>
      </c>
      <c r="C44" t="s">
        <v>52</v>
      </c>
      <c r="D44">
        <v>0.66500000000000004</v>
      </c>
      <c r="E44">
        <v>745.04100000000005</v>
      </c>
      <c r="F44">
        <v>12.231999999999999</v>
      </c>
      <c r="G44">
        <v>1.6</v>
      </c>
      <c r="H44">
        <v>10</v>
      </c>
      <c r="I44" s="2">
        <v>7450.4120000000003</v>
      </c>
      <c r="J44" s="2">
        <f t="shared" si="17"/>
        <v>7.450412</v>
      </c>
      <c r="K44" s="2">
        <f t="shared" si="18"/>
        <v>186.2603</v>
      </c>
      <c r="L44" s="2">
        <f t="shared" si="19"/>
        <v>2.32825375</v>
      </c>
    </row>
    <row r="45" spans="1:18">
      <c r="A45" t="s">
        <v>57</v>
      </c>
      <c r="B45" t="s">
        <v>90</v>
      </c>
      <c r="C45" t="s">
        <v>58</v>
      </c>
      <c r="D45">
        <v>0.63600000000000001</v>
      </c>
      <c r="E45">
        <v>840.62800000000004</v>
      </c>
      <c r="F45">
        <v>35.459000000000003</v>
      </c>
      <c r="G45">
        <v>4.2</v>
      </c>
      <c r="H45">
        <v>10</v>
      </c>
      <c r="I45" s="2">
        <v>8406.2829999999994</v>
      </c>
      <c r="J45" s="2">
        <f t="shared" si="17"/>
        <v>8.4062830000000002</v>
      </c>
      <c r="K45" s="2">
        <f t="shared" si="18"/>
        <v>210.15707499999999</v>
      </c>
      <c r="L45" s="2">
        <f t="shared" si="19"/>
        <v>2.6269634374999997</v>
      </c>
    </row>
    <row r="46" spans="1:18">
      <c r="A46" t="s">
        <v>59</v>
      </c>
      <c r="B46" t="s">
        <v>90</v>
      </c>
      <c r="C46" t="s">
        <v>60</v>
      </c>
      <c r="D46">
        <v>0.67200000000000004</v>
      </c>
      <c r="E46">
        <v>710.74800000000005</v>
      </c>
      <c r="F46">
        <v>6.0039999999999996</v>
      </c>
      <c r="G46">
        <v>0.8</v>
      </c>
      <c r="H46">
        <v>10</v>
      </c>
      <c r="I46" s="2">
        <v>7107.4780000000001</v>
      </c>
      <c r="J46" s="2">
        <f t="shared" si="17"/>
        <v>7.1074780000000004</v>
      </c>
      <c r="K46" s="2">
        <f t="shared" si="18"/>
        <v>177.68695000000002</v>
      </c>
      <c r="L46" s="2">
        <f t="shared" si="19"/>
        <v>2.2210868750000001</v>
      </c>
    </row>
    <row r="47" spans="1:18">
      <c r="A47" t="s">
        <v>61</v>
      </c>
      <c r="B47" t="s">
        <v>90</v>
      </c>
      <c r="C47" t="s">
        <v>62</v>
      </c>
      <c r="D47">
        <v>0.64300000000000002</v>
      </c>
      <c r="E47">
        <v>856.62800000000004</v>
      </c>
      <c r="F47">
        <v>32.527000000000001</v>
      </c>
      <c r="G47">
        <v>3.8</v>
      </c>
      <c r="H47">
        <v>10</v>
      </c>
      <c r="I47" s="2">
        <v>8566.2749999999996</v>
      </c>
      <c r="J47" s="2">
        <f t="shared" si="17"/>
        <v>8.5662749999999992</v>
      </c>
      <c r="K47" s="2">
        <f t="shared" si="18"/>
        <v>214.15687499999999</v>
      </c>
      <c r="L47" s="2">
        <f t="shared" si="19"/>
        <v>2.6769609374999996</v>
      </c>
    </row>
    <row r="48" spans="1:18">
      <c r="H48" t="s">
        <v>93</v>
      </c>
      <c r="I48" s="2">
        <f>AVERAGE(I38:I47)</f>
        <v>7657.0390999999991</v>
      </c>
      <c r="J48" s="2">
        <f t="shared" ref="J48:L48" si="20">AVERAGE(J38:J47)</f>
        <v>7.6570391000000004</v>
      </c>
      <c r="K48" s="2">
        <f t="shared" si="20"/>
        <v>191.42597749999999</v>
      </c>
      <c r="L48" s="2">
        <f t="shared" si="20"/>
        <v>2.39282471875</v>
      </c>
    </row>
    <row r="49" spans="1:12">
      <c r="H49" t="s">
        <v>94</v>
      </c>
      <c r="I49" s="2">
        <f>STDEV(I38:I47)/SQRT(COUNT(I38:I47))</f>
        <v>148.57606978211152</v>
      </c>
      <c r="J49" s="2">
        <f t="shared" ref="J49:L49" si="21">STDEV(J38:J47)/SQRT(COUNT(J38:J47))</f>
        <v>0.14857606978211149</v>
      </c>
      <c r="K49" s="2">
        <f t="shared" si="21"/>
        <v>3.714401744552787</v>
      </c>
      <c r="L49" s="2">
        <f t="shared" si="21"/>
        <v>4.6430021806909839E-2</v>
      </c>
    </row>
    <row r="51" spans="1:12">
      <c r="A51" t="s">
        <v>79</v>
      </c>
      <c r="C51" t="s">
        <v>80</v>
      </c>
      <c r="D51">
        <v>0.83799999999999997</v>
      </c>
      <c r="E51">
        <v>94.674999999999997</v>
      </c>
      <c r="F51">
        <v>27.914999999999999</v>
      </c>
      <c r="G51">
        <v>29.5</v>
      </c>
      <c r="H51">
        <v>0</v>
      </c>
      <c r="I51">
        <v>0</v>
      </c>
      <c r="J51">
        <f>AVERAGE(D51:D52)</f>
        <v>0.83299999999999996</v>
      </c>
    </row>
    <row r="52" spans="1:12">
      <c r="A52" t="s">
        <v>79</v>
      </c>
      <c r="C52" t="s">
        <v>81</v>
      </c>
      <c r="D52">
        <v>0.82799999999999996</v>
      </c>
    </row>
    <row r="53" spans="1:12">
      <c r="A53" t="s">
        <v>82</v>
      </c>
      <c r="C53" t="s">
        <v>83</v>
      </c>
      <c r="D53">
        <v>-8.0000000000000002E-3</v>
      </c>
      <c r="E53" t="s">
        <v>84</v>
      </c>
      <c r="F53" t="s">
        <v>84</v>
      </c>
      <c r="G53" t="s">
        <v>84</v>
      </c>
      <c r="H53">
        <v>0</v>
      </c>
      <c r="I53" t="s">
        <v>84</v>
      </c>
      <c r="J53">
        <f>AVERAGE(D53:D54)</f>
        <v>-7.4999999999999997E-3</v>
      </c>
    </row>
    <row r="54" spans="1:12">
      <c r="A54" t="s">
        <v>82</v>
      </c>
      <c r="C54" t="s">
        <v>85</v>
      </c>
      <c r="D54">
        <v>-7.0000000000000001E-3</v>
      </c>
    </row>
    <row r="55" spans="1:12">
      <c r="A55" t="s">
        <v>86</v>
      </c>
      <c r="C55" t="s">
        <v>87</v>
      </c>
      <c r="D55">
        <v>0.104</v>
      </c>
      <c r="E55">
        <v>340544.08500000002</v>
      </c>
      <c r="F55">
        <v>0</v>
      </c>
      <c r="G55">
        <v>0</v>
      </c>
      <c r="H55">
        <v>0</v>
      </c>
      <c r="I55">
        <v>0</v>
      </c>
    </row>
    <row r="56" spans="1:12">
      <c r="A56" t="s">
        <v>86</v>
      </c>
      <c r="C56" t="s">
        <v>88</v>
      </c>
      <c r="D56">
        <v>0.10100000000000001</v>
      </c>
    </row>
  </sheetData>
  <autoFilter ref="A1:I56" xr:uid="{00000000-0009-0000-0000-000000000000}">
    <sortState xmlns:xlrd2="http://schemas.microsoft.com/office/spreadsheetml/2017/richdata2" ref="A2:I56">
      <sortCondition ref="B1:B56"/>
    </sortState>
  </autoFilter>
  <pageMargins left="0" right="0" top="0.39369999999999999" bottom="0.39369999999999999" header="0" footer="0"/>
  <headerFooter>
    <oddHeader>&amp;C&amp;A</oddHeader>
    <oddFooter>&amp;CPage &amp;P</oddFooter>
  </headerFooter>
  <drawing r:id="rId1"/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B2E5-D26A-4F9C-B761-67F6E160D8F1}">
  <dimension ref="A1:N50"/>
  <sheetViews>
    <sheetView tabSelected="1" workbookViewId="0">
      <selection activeCell="I22" sqref="I22"/>
    </sheetView>
  </sheetViews>
  <sheetFormatPr baseColWidth="10" defaultColWidth="8.83203125" defaultRowHeight="16"/>
  <sheetData>
    <row r="1" spans="1:14">
      <c r="A1" s="5" t="s">
        <v>109</v>
      </c>
      <c r="B1" s="4" t="s">
        <v>110</v>
      </c>
      <c r="C1" s="4"/>
      <c r="D1" s="4"/>
      <c r="E1" s="4"/>
      <c r="F1" s="4"/>
    </row>
    <row r="2" spans="1:14">
      <c r="A2" s="5" t="s">
        <v>111</v>
      </c>
      <c r="B2" s="4" t="s">
        <v>112</v>
      </c>
      <c r="C2" s="4"/>
      <c r="D2" s="4"/>
      <c r="E2" s="4"/>
      <c r="F2" s="4"/>
      <c r="J2" s="6"/>
      <c r="K2" s="6" t="s">
        <v>173</v>
      </c>
      <c r="L2" s="6" t="s">
        <v>174</v>
      </c>
      <c r="M2" s="6" t="s">
        <v>175</v>
      </c>
      <c r="N2" s="6" t="s">
        <v>176</v>
      </c>
    </row>
    <row r="3" spans="1:14">
      <c r="A3" s="5"/>
      <c r="B3" s="4"/>
      <c r="C3" s="4"/>
      <c r="D3" s="4"/>
      <c r="E3" s="4"/>
      <c r="F3" s="4"/>
      <c r="J3" s="5" t="s">
        <v>177</v>
      </c>
      <c r="K3" s="4">
        <v>10</v>
      </c>
      <c r="L3" s="4">
        <v>10</v>
      </c>
      <c r="M3" s="4">
        <v>8</v>
      </c>
      <c r="N3" s="4">
        <v>9</v>
      </c>
    </row>
    <row r="4" spans="1:14">
      <c r="A4" s="5" t="s">
        <v>113</v>
      </c>
      <c r="B4" s="4"/>
      <c r="C4" s="4"/>
      <c r="D4" s="4"/>
      <c r="E4" s="4"/>
      <c r="F4" s="4"/>
      <c r="J4" s="5"/>
      <c r="K4" s="4"/>
      <c r="L4" s="4"/>
      <c r="M4" s="4"/>
      <c r="N4" s="4"/>
    </row>
    <row r="5" spans="1:14">
      <c r="A5" s="5" t="s">
        <v>114</v>
      </c>
      <c r="B5" s="4">
        <v>0.2843</v>
      </c>
      <c r="C5" s="4"/>
      <c r="D5" s="4"/>
      <c r="E5" s="4"/>
      <c r="F5" s="4"/>
      <c r="J5" s="5" t="s">
        <v>178</v>
      </c>
      <c r="K5" s="4">
        <v>2.19</v>
      </c>
      <c r="L5" s="4">
        <v>2.2210000000000001</v>
      </c>
      <c r="M5" s="4">
        <v>2.202</v>
      </c>
      <c r="N5" s="4">
        <v>2.2549999999999999</v>
      </c>
    </row>
    <row r="6" spans="1:14">
      <c r="A6" s="5" t="s">
        <v>115</v>
      </c>
      <c r="B6" s="4">
        <v>0.83640000000000003</v>
      </c>
      <c r="C6" s="4"/>
      <c r="D6" s="4"/>
      <c r="E6" s="4"/>
      <c r="F6" s="4"/>
      <c r="J6" s="5" t="s">
        <v>179</v>
      </c>
      <c r="K6" s="4">
        <v>2.371</v>
      </c>
      <c r="L6" s="4">
        <v>2.3029999999999999</v>
      </c>
      <c r="M6" s="4">
        <v>2.2890000000000001</v>
      </c>
      <c r="N6" s="4">
        <v>2.3929999999999998</v>
      </c>
    </row>
    <row r="7" spans="1:14">
      <c r="A7" s="5" t="s">
        <v>116</v>
      </c>
      <c r="B7" s="4" t="s">
        <v>117</v>
      </c>
      <c r="C7" s="4"/>
      <c r="D7" s="4"/>
      <c r="E7" s="4"/>
      <c r="F7" s="4"/>
      <c r="J7" s="5" t="s">
        <v>180</v>
      </c>
      <c r="K7" s="4">
        <v>2.4550000000000001</v>
      </c>
      <c r="L7" s="4">
        <v>2.3559999999999999</v>
      </c>
      <c r="M7" s="4">
        <v>2.3740000000000001</v>
      </c>
      <c r="N7" s="4">
        <v>2.41</v>
      </c>
    </row>
    <row r="8" spans="1:14">
      <c r="A8" s="5" t="s">
        <v>118</v>
      </c>
      <c r="B8" s="4" t="s">
        <v>119</v>
      </c>
      <c r="C8" s="4"/>
      <c r="D8" s="4"/>
      <c r="E8" s="4"/>
      <c r="F8" s="4"/>
      <c r="J8" s="5" t="s">
        <v>181</v>
      </c>
      <c r="K8" s="4">
        <v>2.5499999999999998</v>
      </c>
      <c r="L8" s="4">
        <v>2.4500000000000002</v>
      </c>
      <c r="M8" s="4">
        <v>2.589</v>
      </c>
      <c r="N8" s="4">
        <v>2.5179999999999998</v>
      </c>
    </row>
    <row r="9" spans="1:14">
      <c r="A9" s="5" t="s">
        <v>120</v>
      </c>
      <c r="B9" s="4">
        <v>2.5190000000000001E-2</v>
      </c>
      <c r="C9" s="4"/>
      <c r="D9" s="4"/>
      <c r="E9" s="4"/>
      <c r="F9" s="4"/>
      <c r="J9" s="5" t="s">
        <v>182</v>
      </c>
      <c r="K9" s="4">
        <v>2.758</v>
      </c>
      <c r="L9" s="4">
        <v>2.677</v>
      </c>
      <c r="M9" s="4">
        <v>2.7490000000000001</v>
      </c>
      <c r="N9" s="4">
        <v>2.5779999999999998</v>
      </c>
    </row>
    <row r="10" spans="1:14">
      <c r="A10" s="5"/>
      <c r="B10" s="4"/>
      <c r="C10" s="4"/>
      <c r="D10" s="4"/>
      <c r="E10" s="4"/>
      <c r="F10" s="4"/>
      <c r="J10" s="5"/>
      <c r="K10" s="4"/>
      <c r="L10" s="4"/>
      <c r="M10" s="4"/>
      <c r="N10" s="4"/>
    </row>
    <row r="11" spans="1:14">
      <c r="A11" s="5" t="s">
        <v>121</v>
      </c>
      <c r="B11" s="4"/>
      <c r="C11" s="4"/>
      <c r="D11" s="4"/>
      <c r="E11" s="4"/>
      <c r="F11" s="4"/>
      <c r="J11" s="5" t="s">
        <v>183</v>
      </c>
      <c r="K11" s="4">
        <v>2.4540000000000002</v>
      </c>
      <c r="L11" s="4">
        <v>2.3929999999999998</v>
      </c>
      <c r="M11" s="4">
        <v>2.4350000000000001</v>
      </c>
      <c r="N11" s="4">
        <v>2.4319999999999999</v>
      </c>
    </row>
    <row r="12" spans="1:14">
      <c r="A12" s="5" t="s">
        <v>122</v>
      </c>
      <c r="B12" s="4" t="s">
        <v>123</v>
      </c>
      <c r="C12" s="4"/>
      <c r="D12" s="4"/>
      <c r="E12" s="4"/>
      <c r="F12" s="4"/>
      <c r="J12" s="5" t="s">
        <v>184</v>
      </c>
      <c r="K12" s="4">
        <v>0.1638</v>
      </c>
      <c r="L12" s="4">
        <v>0.14680000000000001</v>
      </c>
      <c r="M12" s="4">
        <v>0.18640000000000001</v>
      </c>
      <c r="N12" s="4">
        <v>9.5630000000000007E-2</v>
      </c>
    </row>
    <row r="13" spans="1:14">
      <c r="A13" s="5" t="s">
        <v>115</v>
      </c>
      <c r="B13" s="4">
        <v>0.54479999999999995</v>
      </c>
      <c r="C13" s="4"/>
      <c r="D13" s="4"/>
      <c r="E13" s="4"/>
      <c r="F13" s="4"/>
      <c r="J13" s="5" t="s">
        <v>185</v>
      </c>
      <c r="K13" s="4">
        <v>5.1799999999999999E-2</v>
      </c>
      <c r="L13" s="4">
        <v>4.6440000000000002E-2</v>
      </c>
      <c r="M13" s="4">
        <v>6.5890000000000004E-2</v>
      </c>
      <c r="N13" s="4">
        <v>3.1879999999999999E-2</v>
      </c>
    </row>
    <row r="14" spans="1:14">
      <c r="A14" s="5" t="s">
        <v>116</v>
      </c>
      <c r="B14" s="4" t="s">
        <v>117</v>
      </c>
      <c r="C14" s="4"/>
      <c r="D14" s="4"/>
      <c r="E14" s="4"/>
      <c r="F14" s="4"/>
      <c r="J14" s="5"/>
      <c r="K14" s="4"/>
      <c r="L14" s="4"/>
      <c r="M14" s="4"/>
      <c r="N14" s="4"/>
    </row>
    <row r="15" spans="1:14">
      <c r="A15" s="5" t="s">
        <v>124</v>
      </c>
      <c r="B15" s="4" t="s">
        <v>119</v>
      </c>
      <c r="C15" s="4"/>
      <c r="D15" s="4"/>
      <c r="E15" s="4"/>
      <c r="F15" s="4"/>
      <c r="J15" s="5" t="s">
        <v>186</v>
      </c>
      <c r="K15" s="4">
        <v>2.3359999999999999</v>
      </c>
      <c r="L15" s="4">
        <v>2.2879999999999998</v>
      </c>
      <c r="M15" s="4">
        <v>2.2789999999999999</v>
      </c>
      <c r="N15" s="4">
        <v>2.3580000000000001</v>
      </c>
    </row>
    <row r="16" spans="1:14">
      <c r="A16" s="5"/>
      <c r="B16" s="4"/>
      <c r="C16" s="4"/>
      <c r="D16" s="4"/>
      <c r="E16" s="4"/>
      <c r="F16" s="4"/>
      <c r="J16" s="5" t="s">
        <v>187</v>
      </c>
      <c r="K16" s="4">
        <v>2.5710000000000002</v>
      </c>
      <c r="L16" s="4">
        <v>2.4980000000000002</v>
      </c>
      <c r="M16" s="4">
        <v>2.5910000000000002</v>
      </c>
      <c r="N16" s="4">
        <v>2.5049999999999999</v>
      </c>
    </row>
    <row r="17" spans="1:9">
      <c r="A17" s="5" t="s">
        <v>125</v>
      </c>
      <c r="B17" s="4"/>
      <c r="C17" s="4"/>
      <c r="D17" s="4"/>
      <c r="E17" s="4"/>
      <c r="F17" s="4"/>
    </row>
    <row r="18" spans="1:9">
      <c r="A18" s="5" t="s">
        <v>126</v>
      </c>
      <c r="B18" s="4">
        <v>3.21</v>
      </c>
      <c r="C18" s="4"/>
      <c r="D18" s="4"/>
      <c r="E18" s="4"/>
      <c r="F18" s="4"/>
    </row>
    <row r="19" spans="1:9">
      <c r="A19" s="5" t="s">
        <v>115</v>
      </c>
      <c r="B19" s="4">
        <v>0.3604</v>
      </c>
      <c r="C19" s="4"/>
      <c r="D19" s="4"/>
      <c r="E19" s="4"/>
      <c r="F19" s="4"/>
    </row>
    <row r="20" spans="1:9">
      <c r="A20" s="5" t="s">
        <v>116</v>
      </c>
      <c r="B20" s="4" t="s">
        <v>117</v>
      </c>
      <c r="C20" s="4"/>
      <c r="D20" s="4"/>
      <c r="E20" s="4"/>
      <c r="F20" s="4"/>
    </row>
    <row r="21" spans="1:9">
      <c r="A21" s="5" t="s">
        <v>124</v>
      </c>
      <c r="B21" s="4" t="s">
        <v>119</v>
      </c>
      <c r="C21" s="4"/>
      <c r="D21" s="4"/>
      <c r="E21" s="4"/>
      <c r="F21" s="4"/>
    </row>
    <row r="22" spans="1:9">
      <c r="A22" s="5"/>
      <c r="B22" s="4"/>
      <c r="C22" s="4"/>
      <c r="D22" s="4"/>
      <c r="E22" s="4"/>
      <c r="F22" s="4"/>
    </row>
    <row r="23" spans="1:9">
      <c r="A23" s="5" t="s">
        <v>127</v>
      </c>
      <c r="B23" s="4" t="s">
        <v>128</v>
      </c>
      <c r="C23" s="4" t="s">
        <v>129</v>
      </c>
      <c r="D23" s="4" t="s">
        <v>130</v>
      </c>
      <c r="E23" s="4" t="s">
        <v>122</v>
      </c>
      <c r="F23" s="4" t="s">
        <v>115</v>
      </c>
    </row>
    <row r="24" spans="1:9">
      <c r="A24" s="5" t="s">
        <v>131</v>
      </c>
      <c r="B24" s="4">
        <v>1.9429999999999999E-2</v>
      </c>
      <c r="C24" s="4">
        <v>3</v>
      </c>
      <c r="D24" s="4">
        <v>6.4770000000000001E-3</v>
      </c>
      <c r="E24" s="4" t="s">
        <v>132</v>
      </c>
      <c r="F24" s="4" t="s">
        <v>133</v>
      </c>
    </row>
    <row r="25" spans="1:9">
      <c r="A25" s="5" t="s">
        <v>134</v>
      </c>
      <c r="B25" s="4">
        <v>0.75190000000000001</v>
      </c>
      <c r="C25" s="4">
        <v>33</v>
      </c>
      <c r="D25" s="4">
        <v>2.2780000000000002E-2</v>
      </c>
      <c r="E25" s="4"/>
      <c r="F25" s="4"/>
    </row>
    <row r="26" spans="1:9">
      <c r="A26" s="5" t="s">
        <v>135</v>
      </c>
      <c r="B26" s="4">
        <v>0.77129999999999999</v>
      </c>
      <c r="C26" s="4">
        <v>36</v>
      </c>
      <c r="D26" s="4"/>
      <c r="E26" s="4"/>
      <c r="F26" s="4"/>
    </row>
    <row r="27" spans="1:9">
      <c r="A27" s="5"/>
      <c r="B27" s="4"/>
      <c r="C27" s="4"/>
      <c r="D27" s="4"/>
      <c r="E27" s="4"/>
      <c r="F27" s="4"/>
    </row>
    <row r="28" spans="1:9">
      <c r="A28" s="5" t="s">
        <v>136</v>
      </c>
      <c r="B28" s="4"/>
      <c r="C28" s="4"/>
      <c r="D28" s="4"/>
      <c r="E28" s="4"/>
      <c r="F28" s="4"/>
    </row>
    <row r="29" spans="1:9">
      <c r="A29" s="5" t="s">
        <v>137</v>
      </c>
      <c r="B29" s="4">
        <v>4</v>
      </c>
      <c r="C29" s="4"/>
      <c r="D29" s="4"/>
      <c r="E29" s="4"/>
      <c r="F29" s="4"/>
    </row>
    <row r="30" spans="1:9">
      <c r="A30" s="5" t="s">
        <v>138</v>
      </c>
      <c r="B30" s="4">
        <v>37</v>
      </c>
      <c r="C30" s="4"/>
      <c r="D30" s="4"/>
      <c r="E30" s="4"/>
      <c r="F30" s="4"/>
    </row>
    <row r="32" spans="1:9">
      <c r="A32" s="5" t="s">
        <v>139</v>
      </c>
      <c r="B32" s="4">
        <v>1</v>
      </c>
      <c r="C32" s="4"/>
      <c r="D32" s="4"/>
      <c r="E32" s="4"/>
      <c r="F32" s="4"/>
      <c r="G32" s="4"/>
      <c r="H32" s="4"/>
      <c r="I32" s="4"/>
    </row>
    <row r="33" spans="1:9">
      <c r="A33" s="5" t="s">
        <v>140</v>
      </c>
      <c r="B33" s="4">
        <v>6</v>
      </c>
      <c r="C33" s="4"/>
      <c r="D33" s="4"/>
      <c r="E33" s="4"/>
      <c r="F33" s="4"/>
      <c r="G33" s="4"/>
      <c r="H33" s="4"/>
      <c r="I33" s="4"/>
    </row>
    <row r="34" spans="1:9">
      <c r="A34" s="5" t="s">
        <v>141</v>
      </c>
      <c r="B34" s="4">
        <v>0.05</v>
      </c>
      <c r="C34" s="4"/>
      <c r="D34" s="4"/>
      <c r="E34" s="4"/>
      <c r="F34" s="4"/>
      <c r="G34" s="4"/>
      <c r="H34" s="4"/>
      <c r="I34" s="4"/>
    </row>
    <row r="35" spans="1:9">
      <c r="A35" s="5"/>
      <c r="B35" s="4"/>
      <c r="C35" s="4"/>
      <c r="D35" s="4"/>
      <c r="E35" s="4"/>
      <c r="F35" s="4"/>
      <c r="G35" s="4"/>
      <c r="H35" s="4"/>
      <c r="I35" s="4"/>
    </row>
    <row r="36" spans="1:9">
      <c r="A36" s="5" t="s">
        <v>142</v>
      </c>
      <c r="B36" s="4" t="s">
        <v>143</v>
      </c>
      <c r="C36" s="4" t="s">
        <v>144</v>
      </c>
      <c r="D36" s="4" t="s">
        <v>145</v>
      </c>
      <c r="E36" s="4" t="s">
        <v>146</v>
      </c>
      <c r="F36" s="4" t="s">
        <v>147</v>
      </c>
      <c r="G36" s="4"/>
      <c r="H36" s="4"/>
      <c r="I36" s="4"/>
    </row>
    <row r="37" spans="1:9">
      <c r="A37" s="5" t="s">
        <v>148</v>
      </c>
      <c r="B37" s="4">
        <v>6.0699999999999997E-2</v>
      </c>
      <c r="C37" s="4" t="s">
        <v>149</v>
      </c>
      <c r="D37" s="4" t="s">
        <v>119</v>
      </c>
      <c r="E37" s="4" t="s">
        <v>117</v>
      </c>
      <c r="F37" s="4">
        <v>0.80530000000000002</v>
      </c>
      <c r="G37" s="4" t="s">
        <v>150</v>
      </c>
      <c r="H37" s="4"/>
      <c r="I37" s="4"/>
    </row>
    <row r="38" spans="1:9">
      <c r="A38" s="5" t="s">
        <v>151</v>
      </c>
      <c r="B38" s="4">
        <v>1.8350000000000002E-2</v>
      </c>
      <c r="C38" s="4" t="s">
        <v>152</v>
      </c>
      <c r="D38" s="4" t="s">
        <v>119</v>
      </c>
      <c r="E38" s="4" t="s">
        <v>117</v>
      </c>
      <c r="F38" s="4">
        <v>0.99399999999999999</v>
      </c>
      <c r="G38" s="4" t="s">
        <v>153</v>
      </c>
      <c r="H38" s="4"/>
      <c r="I38" s="4"/>
    </row>
    <row r="39" spans="1:9">
      <c r="A39" s="5" t="s">
        <v>154</v>
      </c>
      <c r="B39" s="4">
        <v>2.171E-2</v>
      </c>
      <c r="C39" s="4" t="s">
        <v>155</v>
      </c>
      <c r="D39" s="4" t="s">
        <v>119</v>
      </c>
      <c r="E39" s="4" t="s">
        <v>117</v>
      </c>
      <c r="F39" s="4">
        <v>0.98919999999999997</v>
      </c>
      <c r="G39" s="4" t="s">
        <v>112</v>
      </c>
      <c r="H39" s="4"/>
      <c r="I39" s="4"/>
    </row>
    <row r="40" spans="1:9">
      <c r="A40" s="5" t="s">
        <v>156</v>
      </c>
      <c r="B40" s="4">
        <v>-4.2349999999999999E-2</v>
      </c>
      <c r="C40" s="4" t="s">
        <v>157</v>
      </c>
      <c r="D40" s="4" t="s">
        <v>119</v>
      </c>
      <c r="E40" s="4" t="s">
        <v>117</v>
      </c>
      <c r="F40" s="4">
        <v>0.93389999999999995</v>
      </c>
      <c r="G40" s="4" t="s">
        <v>158</v>
      </c>
      <c r="H40" s="4"/>
      <c r="I40" s="4"/>
    </row>
    <row r="41" spans="1:9">
      <c r="A41" s="5" t="s">
        <v>159</v>
      </c>
      <c r="B41" s="4">
        <v>-3.8989999999999997E-2</v>
      </c>
      <c r="C41" s="4" t="s">
        <v>160</v>
      </c>
      <c r="D41" s="4" t="s">
        <v>119</v>
      </c>
      <c r="E41" s="4" t="s">
        <v>117</v>
      </c>
      <c r="F41" s="4">
        <v>0.9425</v>
      </c>
      <c r="G41" s="4" t="s">
        <v>161</v>
      </c>
      <c r="H41" s="4"/>
      <c r="I41" s="4"/>
    </row>
    <row r="42" spans="1:9">
      <c r="A42" s="5" t="s">
        <v>162</v>
      </c>
      <c r="B42" s="4">
        <v>3.3609999999999998E-3</v>
      </c>
      <c r="C42" s="4" t="s">
        <v>163</v>
      </c>
      <c r="D42" s="4" t="s">
        <v>119</v>
      </c>
      <c r="E42" s="4" t="s">
        <v>117</v>
      </c>
      <c r="F42" s="4" t="s">
        <v>164</v>
      </c>
      <c r="G42" s="4" t="s">
        <v>165</v>
      </c>
      <c r="H42" s="4"/>
      <c r="I42" s="4"/>
    </row>
    <row r="43" spans="1:9">
      <c r="A43" s="5"/>
      <c r="B43" s="4"/>
      <c r="C43" s="4"/>
      <c r="D43" s="4"/>
      <c r="E43" s="4"/>
      <c r="F43" s="4"/>
      <c r="G43" s="4"/>
      <c r="H43" s="4"/>
      <c r="I43" s="4"/>
    </row>
    <row r="44" spans="1:9">
      <c r="A44" s="5" t="s">
        <v>166</v>
      </c>
      <c r="B44" s="4" t="s">
        <v>167</v>
      </c>
      <c r="C44" s="4" t="s">
        <v>168</v>
      </c>
      <c r="D44" s="4" t="s">
        <v>143</v>
      </c>
      <c r="E44" s="4" t="s">
        <v>169</v>
      </c>
      <c r="F44" s="4" t="s">
        <v>170</v>
      </c>
      <c r="G44" s="4" t="s">
        <v>171</v>
      </c>
      <c r="H44" s="4" t="s">
        <v>172</v>
      </c>
      <c r="I44" s="4" t="s">
        <v>129</v>
      </c>
    </row>
    <row r="45" spans="1:9">
      <c r="A45" s="5" t="s">
        <v>148</v>
      </c>
      <c r="B45" s="4">
        <v>2.4540000000000002</v>
      </c>
      <c r="C45" s="4">
        <v>2.3929999999999998</v>
      </c>
      <c r="D45" s="4">
        <v>6.0699999999999997E-2</v>
      </c>
      <c r="E45" s="4">
        <v>6.7500000000000004E-2</v>
      </c>
      <c r="F45" s="4">
        <v>10</v>
      </c>
      <c r="G45" s="4">
        <v>10</v>
      </c>
      <c r="H45" s="4">
        <v>1.272</v>
      </c>
      <c r="I45" s="4">
        <v>33</v>
      </c>
    </row>
    <row r="46" spans="1:9">
      <c r="A46" s="5" t="s">
        <v>151</v>
      </c>
      <c r="B46" s="4">
        <v>2.4540000000000002</v>
      </c>
      <c r="C46" s="4">
        <v>2.4350000000000001</v>
      </c>
      <c r="D46" s="4">
        <v>1.8350000000000002E-2</v>
      </c>
      <c r="E46" s="4">
        <v>7.1599999999999997E-2</v>
      </c>
      <c r="F46" s="4">
        <v>10</v>
      </c>
      <c r="G46" s="4">
        <v>8</v>
      </c>
      <c r="H46" s="4">
        <v>0.3624</v>
      </c>
      <c r="I46" s="4">
        <v>33</v>
      </c>
    </row>
    <row r="47" spans="1:9">
      <c r="A47" s="5" t="s">
        <v>154</v>
      </c>
      <c r="B47" s="4">
        <v>2.4540000000000002</v>
      </c>
      <c r="C47" s="4">
        <v>2.4319999999999999</v>
      </c>
      <c r="D47" s="4">
        <v>2.171E-2</v>
      </c>
      <c r="E47" s="4">
        <v>6.9349999999999995E-2</v>
      </c>
      <c r="F47" s="4">
        <v>10</v>
      </c>
      <c r="G47" s="4">
        <v>9</v>
      </c>
      <c r="H47" s="4">
        <v>0.44269999999999998</v>
      </c>
      <c r="I47" s="4">
        <v>33</v>
      </c>
    </row>
    <row r="48" spans="1:9">
      <c r="A48" s="5" t="s">
        <v>156</v>
      </c>
      <c r="B48" s="4">
        <v>2.3929999999999998</v>
      </c>
      <c r="C48" s="4">
        <v>2.4350000000000001</v>
      </c>
      <c r="D48" s="4">
        <v>-4.2349999999999999E-2</v>
      </c>
      <c r="E48" s="4">
        <v>7.1599999999999997E-2</v>
      </c>
      <c r="F48" s="4">
        <v>10</v>
      </c>
      <c r="G48" s="4">
        <v>8</v>
      </c>
      <c r="H48" s="4">
        <v>0.83650000000000002</v>
      </c>
      <c r="I48" s="4">
        <v>33</v>
      </c>
    </row>
    <row r="49" spans="1:9">
      <c r="A49" s="5" t="s">
        <v>159</v>
      </c>
      <c r="B49" s="4">
        <v>2.3929999999999998</v>
      </c>
      <c r="C49" s="4">
        <v>2.4319999999999999</v>
      </c>
      <c r="D49" s="4">
        <v>-3.8989999999999997E-2</v>
      </c>
      <c r="E49" s="4">
        <v>6.9349999999999995E-2</v>
      </c>
      <c r="F49" s="4">
        <v>10</v>
      </c>
      <c r="G49" s="4">
        <v>9</v>
      </c>
      <c r="H49" s="4">
        <v>0.79500000000000004</v>
      </c>
      <c r="I49" s="4">
        <v>33</v>
      </c>
    </row>
    <row r="50" spans="1:9">
      <c r="A50" s="5" t="s">
        <v>162</v>
      </c>
      <c r="B50" s="4">
        <v>2.4350000000000001</v>
      </c>
      <c r="C50" s="4">
        <v>2.4319999999999999</v>
      </c>
      <c r="D50" s="4">
        <v>3.3609999999999998E-3</v>
      </c>
      <c r="E50" s="4">
        <v>7.3349999999999999E-2</v>
      </c>
      <c r="F50" s="4">
        <v>8</v>
      </c>
      <c r="G50" s="4">
        <v>9</v>
      </c>
      <c r="H50" s="4">
        <v>6.4810000000000006E-2</v>
      </c>
      <c r="I50" s="4">
        <v>33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  <oleObjects>
    <oleObject progId="Prism8.Document" shapeId="2050" r:id="rId3">
      <objectPr defaultSize="0" r:id="rId4">
        <anchor moveWithCells="1">
          <from>
            <xdr:col>3</xdr:col>
            <xdr:colOff>177800</xdr:colOff>
            <xdr:row>3</xdr:row>
            <xdr:rowOff>88900</xdr:rowOff>
          </from>
          <to>
            <xdr:col>6</xdr:col>
            <xdr:colOff>520700</xdr:colOff>
            <xdr:row>19</xdr:row>
            <xdr:rowOff>25400</xdr:rowOff>
          </to>
        </anchor>
      </objectPr>
    </oleObject>
  </oleObjects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Mathes, Samuel</cp:lastModifiedBy>
  <cp:revision>1</cp:revision>
  <dcterms:created xsi:type="dcterms:W3CDTF">2024-03-15T15:45:05Z</dcterms:created>
  <dcterms:modified xsi:type="dcterms:W3CDTF">2024-03-19T13:30:18Z</dcterms:modified>
</cp:coreProperties>
</file>