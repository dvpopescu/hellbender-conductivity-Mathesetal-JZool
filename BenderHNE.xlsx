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athes/Dropbox/Hellbender Stuff/Analysis/For J of Zoology/"/>
    </mc:Choice>
  </mc:AlternateContent>
  <xr:revisionPtr revIDLastSave="0" documentId="8_{E9A306BE-2F3F-404F-B425-8C3AB39D79BB}" xr6:coauthVersionLast="47" xr6:coauthVersionMax="47" xr10:uidLastSave="{00000000-0000-0000-0000-000000000000}"/>
  <bookViews>
    <workbookView xWindow="0" yWindow="760" windowWidth="34560" windowHeight="20380" activeTab="1" xr2:uid="{B4A5AE05-6802-414A-8998-9417645F3AF2}"/>
  </bookViews>
  <sheets>
    <sheet name="raw" sheetId="1" r:id="rId1"/>
    <sheet name="7-14-23 HellbenderHNE" sheetId="2" r:id="rId2"/>
  </sheets>
  <definedNames>
    <definedName name="_xlnm._FilterDatabase" localSheetId="1" hidden="1">'7-14-23 HellbenderHNE'!$A$2:$G$40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" l="1"/>
  <c r="I40" i="2"/>
  <c r="I30" i="2"/>
  <c r="J20" i="2"/>
  <c r="I20" i="2"/>
  <c r="J11" i="2"/>
  <c r="I11" i="2"/>
  <c r="M7" i="2"/>
  <c r="L7" i="2"/>
  <c r="M6" i="2"/>
  <c r="L6" i="2"/>
  <c r="M5" i="2"/>
  <c r="L5" i="2"/>
  <c r="M4" i="2"/>
  <c r="L4" i="2"/>
</calcChain>
</file>

<file path=xl/sharedStrings.xml><?xml version="1.0" encoding="utf-8"?>
<sst xmlns="http://schemas.openxmlformats.org/spreadsheetml/2006/main" count="332" uniqueCount="166">
  <si>
    <t>7-14-23 Hellbender HNE</t>
  </si>
  <si>
    <t>Sample</t>
  </si>
  <si>
    <t>Wells</t>
  </si>
  <si>
    <t>OD Values</t>
  </si>
  <si>
    <t>Concentration</t>
  </si>
  <si>
    <t>Mean Conc.</t>
  </si>
  <si>
    <t>Std.Dev.</t>
  </si>
  <si>
    <t>CV%</t>
  </si>
  <si>
    <t>Dilution</t>
  </si>
  <si>
    <t>Adj. Conc.</t>
  </si>
  <si>
    <t>Un01</t>
  </si>
  <si>
    <t>A3</t>
  </si>
  <si>
    <t>A4</t>
  </si>
  <si>
    <t>Un02</t>
  </si>
  <si>
    <t>B3</t>
  </si>
  <si>
    <t>B4</t>
  </si>
  <si>
    <t>Un03</t>
  </si>
  <si>
    <t>C3</t>
  </si>
  <si>
    <t>C4</t>
  </si>
  <si>
    <t>Un04</t>
  </si>
  <si>
    <t>D3</t>
  </si>
  <si>
    <t>D4</t>
  </si>
  <si>
    <t>Un05</t>
  </si>
  <si>
    <t>E3</t>
  </si>
  <si>
    <t>E4</t>
  </si>
  <si>
    <t>Un10</t>
  </si>
  <si>
    <t>E5</t>
  </si>
  <si>
    <t>E6</t>
  </si>
  <si>
    <t>Un11</t>
  </si>
  <si>
    <t>F5</t>
  </si>
  <si>
    <t>F6</t>
  </si>
  <si>
    <t>Un12</t>
  </si>
  <si>
    <t>A7</t>
  </si>
  <si>
    <t>A8</t>
  </si>
  <si>
    <t>Un13</t>
  </si>
  <si>
    <t>B7</t>
  </si>
  <si>
    <t>B8</t>
  </si>
  <si>
    <t>Un14</t>
  </si>
  <si>
    <t>C7</t>
  </si>
  <si>
    <t>C8</t>
  </si>
  <si>
    <t>Un15</t>
  </si>
  <si>
    <t>D7</t>
  </si>
  <si>
    <t>D8</t>
  </si>
  <si>
    <t>Un16</t>
  </si>
  <si>
    <t>E7</t>
  </si>
  <si>
    <t>E8</t>
  </si>
  <si>
    <t>Un17</t>
  </si>
  <si>
    <t>F7</t>
  </si>
  <si>
    <t>F8</t>
  </si>
  <si>
    <t>Un18</t>
  </si>
  <si>
    <t>G7</t>
  </si>
  <si>
    <t>G8</t>
  </si>
  <si>
    <t>Un19</t>
  </si>
  <si>
    <t>A9</t>
  </si>
  <si>
    <t>A10</t>
  </si>
  <si>
    <t>Un20</t>
  </si>
  <si>
    <t>B9</t>
  </si>
  <si>
    <t>B10</t>
  </si>
  <si>
    <t>Un21</t>
  </si>
  <si>
    <t>C9</t>
  </si>
  <si>
    <t>C10</t>
  </si>
  <si>
    <t>Un22</t>
  </si>
  <si>
    <t>D9</t>
  </si>
  <si>
    <t>D10</t>
  </si>
  <si>
    <t>Un23</t>
  </si>
  <si>
    <t>E9</t>
  </si>
  <si>
    <t>E10</t>
  </si>
  <si>
    <t>Un24</t>
  </si>
  <si>
    <t>F9</t>
  </si>
  <si>
    <t>F10</t>
  </si>
  <si>
    <t>Un25</t>
  </si>
  <si>
    <t>G9</t>
  </si>
  <si>
    <t>G10</t>
  </si>
  <si>
    <t>Un26</t>
  </si>
  <si>
    <t>H9</t>
  </si>
  <si>
    <t>H10</t>
  </si>
  <si>
    <t>Un27</t>
  </si>
  <si>
    <t>E11</t>
  </si>
  <si>
    <t>E12</t>
  </si>
  <si>
    <t>Un28</t>
  </si>
  <si>
    <t>H7</t>
  </si>
  <si>
    <t>H8</t>
  </si>
  <si>
    <t>Un29</t>
  </si>
  <si>
    <t>G5</t>
  </si>
  <si>
    <t>G6</t>
  </si>
  <si>
    <t>Un30</t>
  </si>
  <si>
    <t>F3</t>
  </si>
  <si>
    <t>F4</t>
  </si>
  <si>
    <t>Un31</t>
  </si>
  <si>
    <t>G3</t>
  </si>
  <si>
    <t>G4</t>
  </si>
  <si>
    <t>Un32</t>
  </si>
  <si>
    <t>C11</t>
  </si>
  <si>
    <t>C12</t>
  </si>
  <si>
    <t>Un33</t>
  </si>
  <si>
    <t>D11</t>
  </si>
  <si>
    <t>D12</t>
  </si>
  <si>
    <t>Un34</t>
  </si>
  <si>
    <t>H3</t>
  </si>
  <si>
    <t>H4</t>
  </si>
  <si>
    <t>Un35</t>
  </si>
  <si>
    <t>F11</t>
  </si>
  <si>
    <t>F12</t>
  </si>
  <si>
    <t>H5</t>
  </si>
  <si>
    <t>H6</t>
  </si>
  <si>
    <t>Un37</t>
  </si>
  <si>
    <t>B11</t>
  </si>
  <si>
    <t>B12</t>
  </si>
  <si>
    <t>Un38</t>
  </si>
  <si>
    <t>A11</t>
  </si>
  <si>
    <t>A12</t>
  </si>
  <si>
    <t>Un6</t>
  </si>
  <si>
    <t>A5</t>
  </si>
  <si>
    <t>A6</t>
  </si>
  <si>
    <t>Un7</t>
  </si>
  <si>
    <t>B5</t>
  </si>
  <si>
    <t>B6</t>
  </si>
  <si>
    <t>Un8</t>
  </si>
  <si>
    <t>C5</t>
  </si>
  <si>
    <t>C6</t>
  </si>
  <si>
    <t>Un9</t>
  </si>
  <si>
    <t>D5</t>
  </si>
  <si>
    <t>D6</t>
  </si>
  <si>
    <t>Back Calc Conc</t>
  </si>
  <si>
    <t>Mean OD Value</t>
  </si>
  <si>
    <t>St01</t>
  </si>
  <si>
    <t>A1</t>
  </si>
  <si>
    <t>A2</t>
  </si>
  <si>
    <t>St02</t>
  </si>
  <si>
    <t>B1</t>
  </si>
  <si>
    <t>B2</t>
  </si>
  <si>
    <t>St03</t>
  </si>
  <si>
    <t>C1</t>
  </si>
  <si>
    <t>C2</t>
  </si>
  <si>
    <t>St04</t>
  </si>
  <si>
    <t>D1</t>
  </si>
  <si>
    <t>D2</t>
  </si>
  <si>
    <t>St05</t>
  </si>
  <si>
    <t>E1</t>
  </si>
  <si>
    <t>E2</t>
  </si>
  <si>
    <t>St06</t>
  </si>
  <si>
    <t>F1</t>
  </si>
  <si>
    <t>F2</t>
  </si>
  <si>
    <t>St07</t>
  </si>
  <si>
    <t>G1</t>
  </si>
  <si>
    <t>G2</t>
  </si>
  <si>
    <t>St08</t>
  </si>
  <si>
    <t>H1</t>
  </si>
  <si>
    <t>H2</t>
  </si>
  <si>
    <t>St09</t>
  </si>
  <si>
    <t>G11</t>
  </si>
  <si>
    <t>Range?</t>
  </si>
  <si>
    <t>G12</t>
  </si>
  <si>
    <t>Treatment</t>
  </si>
  <si>
    <t>high</t>
  </si>
  <si>
    <t>avg</t>
  </si>
  <si>
    <t>se</t>
  </si>
  <si>
    <t>low</t>
  </si>
  <si>
    <t>high-low</t>
  </si>
  <si>
    <t>low-high</t>
  </si>
  <si>
    <t>p val</t>
  </si>
  <si>
    <t>high v low</t>
  </si>
  <si>
    <t>high vs low</t>
  </si>
  <si>
    <t>high-low vs high</t>
  </si>
  <si>
    <t>low-high vs low</t>
  </si>
  <si>
    <t>Un36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</si>
</sst>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Liberation Sans"/>
    </font>
    <font>
      <sz val="12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9" fillId="0" borderId="0" applyNumberFormat="0" applyBorder="0" applyProtection="0"/>
    <xf numFmtId="0" fontId="1" fillId="0" borderId="0" applyNumberFormat="0" applyFon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">
    <xf numFmtId="0" fontId="0" fillId="0" borderId="0" xfId="0"/>
  </cellXfs>
  <cellStyles count="19">
    <cellStyle name="Accent" xfId="7" xr:uid="{C98D18EC-D3A5-2441-BCE1-755872B51A91}"/>
    <cellStyle name="Accent 1" xfId="8" xr:uid="{EEF7E8F3-64D1-F541-AD41-C69B9ECB0EDE}"/>
    <cellStyle name="Accent 2" xfId="9" xr:uid="{2FD1E903-641A-E34C-9B12-A40C265A18E0}"/>
    <cellStyle name="Accent 3" xfId="10" xr:uid="{FBBE25E8-21F1-4043-ABAD-AB8DA6BAEF52}"/>
    <cellStyle name="Bad" xfId="4" builtinId="27" customBuiltin="1"/>
    <cellStyle name="Error" xfId="11" xr:uid="{C45534B9-9306-FC44-A21B-3CC906418702}"/>
    <cellStyle name="Footnote" xfId="12" xr:uid="{179C42AF-1CCC-4641-A68A-5043BB5A3827}"/>
    <cellStyle name="Good" xfId="3" builtinId="26" customBuiltin="1"/>
    <cellStyle name="Heading" xfId="13" xr:uid="{1CE722EB-F8B3-9142-9CF5-DB390180EADB}"/>
    <cellStyle name="Heading 1" xfId="1" builtinId="16" customBuiltin="1"/>
    <cellStyle name="Heading 2" xfId="2" builtinId="17" customBuiltin="1"/>
    <cellStyle name="Hyperlink" xfId="14" xr:uid="{2D18D753-C564-4041-A76B-AB406B35DE02}"/>
    <cellStyle name="Neutral" xfId="5" builtinId="28" customBuiltin="1"/>
    <cellStyle name="Normal" xfId="0" builtinId="0" customBuiltin="1"/>
    <cellStyle name="Note" xfId="6" builtinId="10" customBuiltin="1"/>
    <cellStyle name="Result" xfId="15" xr:uid="{071443CB-ED5F-384B-B6D0-19E590AE5F8F}"/>
    <cellStyle name="Status" xfId="16" xr:uid="{49C4451A-DE29-0642-83AD-A4732C2FC716}"/>
    <cellStyle name="Text" xfId="17" xr:uid="{93D93105-BD5D-B04B-8323-C947522BC214}"/>
    <cellStyle name="Warning" xfId="18" xr:uid="{8185213A-2551-984D-BE6D-99FA038CB1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5.7851924759405073E-2"/>
          <c:y val="7.1693277923592882E-2"/>
          <c:w val="0.8897712160979877"/>
          <c:h val="0.89047462817147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00"/>
            </a:solidFill>
            <a:ln>
              <a:noFill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'7-14-23 HellbenderHNE'!$M$4:$M$7</c:f>
                <c:numCache>
                  <c:formatCode>General</c:formatCode>
                  <c:ptCount val="4"/>
                  <c:pt idx="0">
                    <c:v>0.95074440782596537</c:v>
                  </c:pt>
                  <c:pt idx="1">
                    <c:v>0.36108090967722589</c:v>
                  </c:pt>
                  <c:pt idx="2">
                    <c:v>0.59383747958552935</c:v>
                  </c:pt>
                  <c:pt idx="3">
                    <c:v>0.64325609294519037</c:v>
                  </c:pt>
                </c:numCache>
              </c:numRef>
            </c:plus>
            <c:minus>
              <c:numRef>
                <c:f>'7-14-23 HellbenderHNE'!$M$4:$M$7</c:f>
                <c:numCache>
                  <c:formatCode>General</c:formatCode>
                  <c:ptCount val="4"/>
                  <c:pt idx="0">
                    <c:v>0.95074440782596537</c:v>
                  </c:pt>
                  <c:pt idx="1">
                    <c:v>0.36108090967722589</c:v>
                  </c:pt>
                  <c:pt idx="2">
                    <c:v>0.59383747958552935</c:v>
                  </c:pt>
                  <c:pt idx="3">
                    <c:v>0.64325609294519037</c:v>
                  </c:pt>
                </c:numCache>
              </c:numRef>
            </c:minus>
            <c:spPr>
              <a:solidFill>
                <a:srgbClr val="000000"/>
              </a:solidFill>
              <a:ln w="9528" cap="flat">
                <a:solidFill>
                  <a:srgbClr val="000000"/>
                </a:solidFill>
                <a:prstDash val="solid"/>
                <a:round/>
              </a:ln>
            </c:spPr>
          </c:errBars>
          <c:cat>
            <c:strRef>
              <c:f>'7-14-23 HellbenderHNE'!$K$4:$K$7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high-low</c:v>
                </c:pt>
                <c:pt idx="3">
                  <c:v>low-high</c:v>
                </c:pt>
              </c:strCache>
            </c:strRef>
          </c:cat>
          <c:val>
            <c:numRef>
              <c:f>'7-14-23 HellbenderHNE'!$L$4:$L$7</c:f>
              <c:numCache>
                <c:formatCode>General</c:formatCode>
                <c:ptCount val="4"/>
                <c:pt idx="0">
                  <c:v>3.7611111111111111</c:v>
                </c:pt>
                <c:pt idx="1">
                  <c:v>3.0213000000000005</c:v>
                </c:pt>
                <c:pt idx="2">
                  <c:v>2.9867222222222218</c:v>
                </c:pt>
                <c:pt idx="3">
                  <c:v>4.4666999999999994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2-5447-8A5E-D3FA0BB1E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3378991"/>
        <c:axId val="1803549695"/>
      </c:barChart>
      <c:valAx>
        <c:axId val="18035496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8" cap="flat">
            <a:solidFill>
              <a:srgbClr val="000000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1" i="0" u="none" strike="noStrike" kern="1200" baseline="0">
                <a:solidFill>
                  <a:srgbClr val="000000"/>
                </a:solidFill>
                <a:latin typeface="Arial"/>
                <a:cs typeface="Arial"/>
              </a:defRPr>
            </a:pPr>
            <a:endParaRPr lang="en-US"/>
          </a:p>
        </c:txPr>
        <c:crossAx val="1803378991"/>
        <c:crosses val="autoZero"/>
        <c:crossBetween val="between"/>
      </c:valAx>
      <c:catAx>
        <c:axId val="18033789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8" cap="flat">
            <a:solidFill>
              <a:srgbClr val="000000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800" b="1" i="0" u="none" strike="noStrike" kern="1200" baseline="0">
                <a:solidFill>
                  <a:srgbClr val="000000"/>
                </a:solidFill>
                <a:latin typeface="Arial"/>
                <a:cs typeface="Arial"/>
              </a:defRPr>
            </a:pPr>
            <a:endParaRPr lang="en-US"/>
          </a:p>
        </c:txPr>
        <c:crossAx val="180354969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800" b="1" i="0" u="none" strike="noStrike" kern="1200" baseline="0">
          <a:solidFill>
            <a:srgbClr val="000000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19046</xdr:colOff>
      <xdr:row>12</xdr:row>
      <xdr:rowOff>44448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556CF-E2C0-5361-3111-EE99A9666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DB9D-A2AE-0F45-9E4E-B7DE6CF5B653}">
  <dimension ref="A1:I98"/>
  <sheetViews>
    <sheetView workbookViewId="0"/>
  </sheetViews>
  <sheetFormatPr baseColWidth="10" defaultRowHeight="16"/>
  <cols>
    <col min="1" max="9" width="14.1640625" customWidth="1"/>
    <col min="10" max="10" width="10.83203125" customWidth="1"/>
  </cols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>
        <v>-0.79700000000000004</v>
      </c>
      <c r="D3">
        <v>7.9370000000000003</v>
      </c>
      <c r="E3">
        <v>9.0749999999999993</v>
      </c>
      <c r="F3">
        <v>1.61</v>
      </c>
      <c r="G3">
        <v>17.7</v>
      </c>
      <c r="H3">
        <v>0</v>
      </c>
      <c r="I3">
        <v>0</v>
      </c>
    </row>
    <row r="4" spans="1:9">
      <c r="B4" t="s">
        <v>12</v>
      </c>
      <c r="C4">
        <v>-0.82299999999999995</v>
      </c>
      <c r="D4">
        <v>10.214</v>
      </c>
    </row>
    <row r="5" spans="1:9">
      <c r="A5" t="s">
        <v>13</v>
      </c>
      <c r="B5" t="s">
        <v>14</v>
      </c>
      <c r="C5">
        <v>-0.50600000000000001</v>
      </c>
      <c r="D5">
        <v>0.52600000000000002</v>
      </c>
      <c r="E5">
        <v>0.65100000000000002</v>
      </c>
      <c r="F5">
        <v>0.17699999999999999</v>
      </c>
      <c r="G5">
        <v>27.1</v>
      </c>
      <c r="H5">
        <v>0</v>
      </c>
      <c r="I5">
        <v>0</v>
      </c>
    </row>
    <row r="6" spans="1:9">
      <c r="B6" t="s">
        <v>15</v>
      </c>
      <c r="C6">
        <v>-0.54300000000000004</v>
      </c>
      <c r="D6">
        <v>0.77600000000000002</v>
      </c>
    </row>
    <row r="7" spans="1:9">
      <c r="A7" t="s">
        <v>16</v>
      </c>
      <c r="B7" t="s">
        <v>17</v>
      </c>
      <c r="C7">
        <v>-0.59599999999999997</v>
      </c>
      <c r="D7">
        <v>1.294</v>
      </c>
      <c r="E7">
        <v>1.331</v>
      </c>
      <c r="F7">
        <v>5.1999999999999998E-2</v>
      </c>
      <c r="G7">
        <v>3.9</v>
      </c>
      <c r="H7">
        <v>0</v>
      </c>
      <c r="I7">
        <v>0</v>
      </c>
    </row>
    <row r="8" spans="1:9">
      <c r="B8" t="s">
        <v>18</v>
      </c>
      <c r="C8">
        <v>-0.60199999999999998</v>
      </c>
      <c r="D8">
        <v>1.3680000000000001</v>
      </c>
    </row>
    <row r="9" spans="1:9">
      <c r="A9" t="s">
        <v>19</v>
      </c>
      <c r="B9" t="s">
        <v>20</v>
      </c>
      <c r="C9">
        <v>-0.76</v>
      </c>
      <c r="D9">
        <v>5.6260000000000003</v>
      </c>
      <c r="E9">
        <v>5.758</v>
      </c>
      <c r="F9">
        <v>0.186</v>
      </c>
      <c r="G9">
        <v>3.2</v>
      </c>
      <c r="H9">
        <v>0</v>
      </c>
      <c r="I9">
        <v>0</v>
      </c>
    </row>
    <row r="10" spans="1:9">
      <c r="B10" t="s">
        <v>21</v>
      </c>
      <c r="C10">
        <v>-0.76500000000000001</v>
      </c>
      <c r="D10">
        <v>5.8890000000000002</v>
      </c>
    </row>
    <row r="11" spans="1:9">
      <c r="A11" t="s">
        <v>22</v>
      </c>
      <c r="B11" t="s">
        <v>23</v>
      </c>
      <c r="C11">
        <v>-0.68300000000000005</v>
      </c>
      <c r="D11">
        <v>2.83</v>
      </c>
      <c r="E11">
        <v>2.907</v>
      </c>
      <c r="F11">
        <v>0.109</v>
      </c>
      <c r="G11">
        <v>3.7</v>
      </c>
      <c r="H11">
        <v>0</v>
      </c>
      <c r="I11">
        <v>0</v>
      </c>
    </row>
    <row r="12" spans="1:9">
      <c r="B12" t="s">
        <v>24</v>
      </c>
      <c r="C12">
        <v>-0.68899999999999995</v>
      </c>
      <c r="D12">
        <v>2.984</v>
      </c>
    </row>
    <row r="13" spans="1:9">
      <c r="A13" t="s">
        <v>25</v>
      </c>
      <c r="B13" t="s">
        <v>26</v>
      </c>
      <c r="C13">
        <v>-0.58599999999999997</v>
      </c>
      <c r="D13">
        <v>1.1779999999999999</v>
      </c>
      <c r="E13">
        <v>1.5289999999999999</v>
      </c>
      <c r="F13">
        <v>0.496</v>
      </c>
      <c r="G13">
        <v>32.5</v>
      </c>
      <c r="H13">
        <v>0</v>
      </c>
      <c r="I13">
        <v>0</v>
      </c>
    </row>
    <row r="14" spans="1:9">
      <c r="B14" t="s">
        <v>27</v>
      </c>
      <c r="C14">
        <v>-0.63700000000000001</v>
      </c>
      <c r="D14">
        <v>1.88</v>
      </c>
    </row>
    <row r="15" spans="1:9">
      <c r="A15" t="s">
        <v>28</v>
      </c>
      <c r="B15" t="s">
        <v>29</v>
      </c>
      <c r="C15">
        <v>-0.70199999999999996</v>
      </c>
      <c r="D15">
        <v>3.347</v>
      </c>
      <c r="E15">
        <v>4.1289999999999996</v>
      </c>
      <c r="F15">
        <v>1.1060000000000001</v>
      </c>
      <c r="G15">
        <v>26.8</v>
      </c>
      <c r="H15">
        <v>0</v>
      </c>
      <c r="I15">
        <v>0</v>
      </c>
    </row>
    <row r="16" spans="1:9">
      <c r="B16" t="s">
        <v>30</v>
      </c>
      <c r="C16">
        <v>-0.745</v>
      </c>
      <c r="D16">
        <v>4.9109999999999996</v>
      </c>
    </row>
    <row r="17" spans="1:9">
      <c r="A17" t="s">
        <v>31</v>
      </c>
      <c r="B17" t="s">
        <v>32</v>
      </c>
      <c r="C17">
        <v>-0.67100000000000004</v>
      </c>
      <c r="D17">
        <v>2.5449999999999999</v>
      </c>
      <c r="E17">
        <v>2.6379999999999999</v>
      </c>
      <c r="F17">
        <v>0.13200000000000001</v>
      </c>
      <c r="G17">
        <v>5</v>
      </c>
      <c r="H17">
        <v>0</v>
      </c>
      <c r="I17">
        <v>0</v>
      </c>
    </row>
    <row r="18" spans="1:9">
      <c r="B18" t="s">
        <v>33</v>
      </c>
      <c r="C18">
        <v>-0.67900000000000005</v>
      </c>
      <c r="D18">
        <v>2.7309999999999999</v>
      </c>
    </row>
    <row r="19" spans="1:9">
      <c r="A19" t="s">
        <v>34</v>
      </c>
      <c r="B19" t="s">
        <v>35</v>
      </c>
      <c r="C19">
        <v>-0.68600000000000005</v>
      </c>
      <c r="D19">
        <v>2.9060000000000001</v>
      </c>
      <c r="E19">
        <v>2.9060000000000001</v>
      </c>
      <c r="F19">
        <v>0</v>
      </c>
      <c r="G19">
        <v>0</v>
      </c>
      <c r="H19">
        <v>0</v>
      </c>
      <c r="I19">
        <v>0</v>
      </c>
    </row>
    <row r="20" spans="1:9">
      <c r="B20" t="s">
        <v>36</v>
      </c>
      <c r="C20">
        <v>-0.68600000000000005</v>
      </c>
      <c r="D20">
        <v>2.9060000000000001</v>
      </c>
    </row>
    <row r="21" spans="1:9">
      <c r="A21" t="s">
        <v>37</v>
      </c>
      <c r="B21" t="s">
        <v>38</v>
      </c>
      <c r="C21">
        <v>-0.628</v>
      </c>
      <c r="D21">
        <v>1.734</v>
      </c>
      <c r="E21">
        <v>1.6659999999999999</v>
      </c>
      <c r="F21">
        <v>9.6000000000000002E-2</v>
      </c>
      <c r="G21">
        <v>5.8</v>
      </c>
      <c r="H21">
        <v>0</v>
      </c>
      <c r="I21">
        <v>0</v>
      </c>
    </row>
    <row r="22" spans="1:9">
      <c r="B22" t="s">
        <v>39</v>
      </c>
      <c r="C22">
        <v>-0.61899999999999999</v>
      </c>
      <c r="D22">
        <v>1.5980000000000001</v>
      </c>
    </row>
    <row r="23" spans="1:9">
      <c r="A23" t="s">
        <v>40</v>
      </c>
      <c r="B23" t="s">
        <v>41</v>
      </c>
      <c r="C23">
        <v>-0.64700000000000002</v>
      </c>
      <c r="D23">
        <v>2.056</v>
      </c>
      <c r="E23">
        <v>2.0470000000000002</v>
      </c>
      <c r="F23">
        <v>1.2999999999999999E-2</v>
      </c>
      <c r="G23">
        <v>0.6</v>
      </c>
      <c r="H23">
        <v>0</v>
      </c>
      <c r="I23">
        <v>0</v>
      </c>
    </row>
    <row r="24" spans="1:9">
      <c r="B24" t="s">
        <v>42</v>
      </c>
      <c r="C24">
        <v>-0.64600000000000002</v>
      </c>
      <c r="D24">
        <v>2.0379999999999998</v>
      </c>
    </row>
    <row r="25" spans="1:9">
      <c r="A25" t="s">
        <v>43</v>
      </c>
      <c r="B25" t="s">
        <v>44</v>
      </c>
      <c r="C25">
        <v>-0.67400000000000004</v>
      </c>
      <c r="D25">
        <v>2.613</v>
      </c>
      <c r="E25">
        <v>2.7850000000000001</v>
      </c>
      <c r="F25">
        <v>0.24299999999999999</v>
      </c>
      <c r="G25">
        <v>8.6999999999999993</v>
      </c>
      <c r="H25">
        <v>0</v>
      </c>
      <c r="I25">
        <v>0</v>
      </c>
    </row>
    <row r="26" spans="1:9">
      <c r="B26" t="s">
        <v>45</v>
      </c>
      <c r="C26">
        <v>-0.68799999999999994</v>
      </c>
      <c r="D26">
        <v>2.9580000000000002</v>
      </c>
    </row>
    <row r="27" spans="1:9">
      <c r="A27" t="s">
        <v>46</v>
      </c>
      <c r="B27" t="s">
        <v>47</v>
      </c>
      <c r="C27">
        <v>-0.69499999999999995</v>
      </c>
      <c r="D27">
        <v>3.1459999999999999</v>
      </c>
      <c r="E27">
        <v>3.16</v>
      </c>
      <c r="F27">
        <v>0.02</v>
      </c>
      <c r="G27">
        <v>0.6</v>
      </c>
      <c r="H27">
        <v>0</v>
      </c>
      <c r="I27">
        <v>0</v>
      </c>
    </row>
    <row r="28" spans="1:9">
      <c r="B28" t="s">
        <v>48</v>
      </c>
      <c r="C28">
        <v>-0.69599999999999995</v>
      </c>
      <c r="D28">
        <v>3.1739999999999999</v>
      </c>
    </row>
    <row r="29" spans="1:9">
      <c r="A29" t="s">
        <v>49</v>
      </c>
      <c r="B29" t="s">
        <v>50</v>
      </c>
      <c r="C29">
        <v>-0.66600000000000004</v>
      </c>
      <c r="D29">
        <v>2.4350000000000001</v>
      </c>
      <c r="E29">
        <v>2.4449999999999998</v>
      </c>
      <c r="F29">
        <v>1.4999999999999999E-2</v>
      </c>
      <c r="G29">
        <v>0.6</v>
      </c>
      <c r="H29">
        <v>0</v>
      </c>
      <c r="I29">
        <v>0</v>
      </c>
    </row>
    <row r="30" spans="1:9">
      <c r="B30" t="s">
        <v>51</v>
      </c>
      <c r="C30">
        <v>-0.66700000000000004</v>
      </c>
      <c r="D30">
        <v>2.456</v>
      </c>
    </row>
    <row r="31" spans="1:9">
      <c r="A31" t="s">
        <v>52</v>
      </c>
      <c r="B31" t="s">
        <v>53</v>
      </c>
      <c r="C31">
        <v>-0.69199999999999995</v>
      </c>
      <c r="D31">
        <v>3.0640000000000001</v>
      </c>
      <c r="E31">
        <v>2.8980000000000001</v>
      </c>
      <c r="F31">
        <v>0.23499999999999999</v>
      </c>
      <c r="G31">
        <v>8.1</v>
      </c>
      <c r="H31">
        <v>0</v>
      </c>
      <c r="I31">
        <v>0</v>
      </c>
    </row>
    <row r="32" spans="1:9">
      <c r="B32" t="s">
        <v>54</v>
      </c>
      <c r="C32">
        <v>-0.67900000000000005</v>
      </c>
      <c r="D32">
        <v>2.7309999999999999</v>
      </c>
    </row>
    <row r="33" spans="1:9">
      <c r="A33" t="s">
        <v>55</v>
      </c>
      <c r="B33" t="s">
        <v>56</v>
      </c>
      <c r="C33">
        <v>-0.67200000000000004</v>
      </c>
      <c r="D33">
        <v>2.5670000000000002</v>
      </c>
      <c r="E33">
        <v>2.512</v>
      </c>
      <c r="F33">
        <v>7.9000000000000001E-2</v>
      </c>
      <c r="G33">
        <v>3.1</v>
      </c>
      <c r="H33">
        <v>0</v>
      </c>
      <c r="I33">
        <v>0</v>
      </c>
    </row>
    <row r="34" spans="1:9">
      <c r="B34" t="s">
        <v>57</v>
      </c>
      <c r="C34">
        <v>-0.66700000000000004</v>
      </c>
      <c r="D34">
        <v>2.456</v>
      </c>
    </row>
    <row r="35" spans="1:9">
      <c r="A35" t="s">
        <v>58</v>
      </c>
      <c r="B35" t="s">
        <v>59</v>
      </c>
      <c r="C35">
        <v>-0.72099999999999997</v>
      </c>
      <c r="D35">
        <v>3.9620000000000002</v>
      </c>
      <c r="E35">
        <v>4.0519999999999996</v>
      </c>
      <c r="F35">
        <v>0.128</v>
      </c>
      <c r="G35">
        <v>3.1</v>
      </c>
      <c r="H35">
        <v>0</v>
      </c>
      <c r="I35">
        <v>0</v>
      </c>
    </row>
    <row r="36" spans="1:9">
      <c r="B36" t="s">
        <v>60</v>
      </c>
      <c r="C36">
        <v>-0.72599999999999998</v>
      </c>
      <c r="D36">
        <v>4.1420000000000003</v>
      </c>
    </row>
    <row r="37" spans="1:9">
      <c r="A37" t="s">
        <v>61</v>
      </c>
      <c r="B37" t="s">
        <v>62</v>
      </c>
      <c r="C37">
        <v>-0.65200000000000002</v>
      </c>
      <c r="D37">
        <v>2.15</v>
      </c>
      <c r="E37">
        <v>2.1309999999999998</v>
      </c>
      <c r="F37">
        <v>2.7E-2</v>
      </c>
      <c r="G37">
        <v>1.3</v>
      </c>
      <c r="H37">
        <v>0</v>
      </c>
      <c r="I37">
        <v>0</v>
      </c>
    </row>
    <row r="38" spans="1:9">
      <c r="B38" t="s">
        <v>63</v>
      </c>
      <c r="C38">
        <v>-0.65</v>
      </c>
      <c r="D38">
        <v>2.1120000000000001</v>
      </c>
    </row>
    <row r="39" spans="1:9">
      <c r="A39" t="s">
        <v>64</v>
      </c>
      <c r="B39" t="s">
        <v>65</v>
      </c>
      <c r="C39">
        <v>-0.73599999999999999</v>
      </c>
      <c r="D39">
        <v>4.5289999999999999</v>
      </c>
      <c r="E39">
        <v>4.3540000000000001</v>
      </c>
      <c r="F39">
        <v>0.248</v>
      </c>
      <c r="G39">
        <v>5.7</v>
      </c>
      <c r="H39">
        <v>0</v>
      </c>
      <c r="I39">
        <v>0</v>
      </c>
    </row>
    <row r="40" spans="1:9">
      <c r="B40" t="s">
        <v>66</v>
      </c>
      <c r="C40">
        <v>-0.72699999999999998</v>
      </c>
      <c r="D40">
        <v>4.1790000000000003</v>
      </c>
    </row>
    <row r="41" spans="1:9">
      <c r="A41" t="s">
        <v>67</v>
      </c>
      <c r="B41" t="s">
        <v>68</v>
      </c>
      <c r="C41">
        <v>-0.82599999999999996</v>
      </c>
      <c r="D41">
        <v>10.523</v>
      </c>
      <c r="E41">
        <v>9.1549999999999994</v>
      </c>
      <c r="F41">
        <v>1.9339999999999999</v>
      </c>
      <c r="G41">
        <v>21.1</v>
      </c>
      <c r="H41">
        <v>0</v>
      </c>
      <c r="I41">
        <v>0</v>
      </c>
    </row>
    <row r="42" spans="1:9">
      <c r="B42" t="s">
        <v>69</v>
      </c>
      <c r="C42">
        <v>-0.79500000000000004</v>
      </c>
      <c r="D42">
        <v>7.7869999999999999</v>
      </c>
    </row>
    <row r="43" spans="1:9">
      <c r="A43" t="s">
        <v>70</v>
      </c>
      <c r="B43" t="s">
        <v>71</v>
      </c>
      <c r="C43">
        <v>-0.74399999999999999</v>
      </c>
      <c r="D43">
        <v>4.867</v>
      </c>
      <c r="E43">
        <v>4.5609999999999999</v>
      </c>
      <c r="F43">
        <v>0.433</v>
      </c>
      <c r="G43">
        <v>9.5</v>
      </c>
      <c r="H43">
        <v>0</v>
      </c>
      <c r="I43">
        <v>0</v>
      </c>
    </row>
    <row r="44" spans="1:9">
      <c r="B44" t="s">
        <v>72</v>
      </c>
      <c r="C44">
        <v>-0.72899999999999998</v>
      </c>
      <c r="D44">
        <v>4.2539999999999996</v>
      </c>
    </row>
    <row r="45" spans="1:9">
      <c r="A45" t="s">
        <v>73</v>
      </c>
      <c r="B45" t="s">
        <v>74</v>
      </c>
      <c r="C45">
        <v>-0.77900000000000003</v>
      </c>
      <c r="D45">
        <v>6.7009999999999996</v>
      </c>
      <c r="E45">
        <v>5.9429999999999996</v>
      </c>
      <c r="F45">
        <v>1.073</v>
      </c>
      <c r="G45">
        <v>18</v>
      </c>
      <c r="H45">
        <v>0</v>
      </c>
      <c r="I45">
        <v>0</v>
      </c>
    </row>
    <row r="46" spans="1:9">
      <c r="B46" t="s">
        <v>75</v>
      </c>
      <c r="C46">
        <v>-0.751</v>
      </c>
      <c r="D46">
        <v>5.1840000000000002</v>
      </c>
    </row>
    <row r="47" spans="1:9">
      <c r="A47" t="s">
        <v>76</v>
      </c>
      <c r="B47" t="s">
        <v>77</v>
      </c>
      <c r="C47">
        <v>-0.71199999999999997</v>
      </c>
      <c r="D47">
        <v>3.657</v>
      </c>
      <c r="E47">
        <v>3.7749999999999999</v>
      </c>
      <c r="F47">
        <v>0.16600000000000001</v>
      </c>
      <c r="G47">
        <v>4.4000000000000004</v>
      </c>
      <c r="H47">
        <v>0</v>
      </c>
      <c r="I47">
        <v>0</v>
      </c>
    </row>
    <row r="48" spans="1:9">
      <c r="B48" t="s">
        <v>78</v>
      </c>
      <c r="C48">
        <v>-0.71899999999999997</v>
      </c>
      <c r="D48">
        <v>3.8919999999999999</v>
      </c>
    </row>
    <row r="49" spans="1:9">
      <c r="A49" t="s">
        <v>79</v>
      </c>
      <c r="B49" t="s">
        <v>80</v>
      </c>
      <c r="C49">
        <v>-0.745</v>
      </c>
      <c r="D49">
        <v>4.9109999999999996</v>
      </c>
      <c r="E49">
        <v>5.2939999999999996</v>
      </c>
      <c r="F49">
        <v>0.54200000000000004</v>
      </c>
      <c r="G49">
        <v>10.199999999999999</v>
      </c>
      <c r="H49">
        <v>0</v>
      </c>
      <c r="I49">
        <v>0</v>
      </c>
    </row>
    <row r="50" spans="1:9">
      <c r="B50" t="s">
        <v>81</v>
      </c>
      <c r="C50">
        <v>-0.76100000000000001</v>
      </c>
      <c r="D50">
        <v>5.6779999999999999</v>
      </c>
    </row>
    <row r="51" spans="1:9">
      <c r="A51" t="s">
        <v>82</v>
      </c>
      <c r="B51" t="s">
        <v>83</v>
      </c>
      <c r="C51">
        <v>-0.73499999999999999</v>
      </c>
      <c r="D51">
        <v>4.4889999999999999</v>
      </c>
      <c r="E51">
        <v>4.55</v>
      </c>
      <c r="F51">
        <v>8.6999999999999994E-2</v>
      </c>
      <c r="G51">
        <v>1.9</v>
      </c>
      <c r="H51">
        <v>0</v>
      </c>
      <c r="I51">
        <v>0</v>
      </c>
    </row>
    <row r="52" spans="1:9">
      <c r="B52" t="s">
        <v>84</v>
      </c>
      <c r="C52">
        <v>-0.73799999999999999</v>
      </c>
      <c r="D52">
        <v>4.6109999999999998</v>
      </c>
    </row>
    <row r="53" spans="1:9">
      <c r="A53" t="s">
        <v>85</v>
      </c>
      <c r="B53" t="s">
        <v>86</v>
      </c>
      <c r="C53">
        <v>-0.629</v>
      </c>
      <c r="D53">
        <v>1.75</v>
      </c>
      <c r="E53">
        <v>1.841</v>
      </c>
      <c r="F53">
        <v>0.129</v>
      </c>
      <c r="G53">
        <v>7</v>
      </c>
      <c r="H53">
        <v>0</v>
      </c>
      <c r="I53">
        <v>0</v>
      </c>
    </row>
    <row r="54" spans="1:9">
      <c r="B54" t="s">
        <v>87</v>
      </c>
      <c r="C54">
        <v>-0.64</v>
      </c>
      <c r="D54">
        <v>1.9319999999999999</v>
      </c>
    </row>
    <row r="55" spans="1:9">
      <c r="A55" t="s">
        <v>88</v>
      </c>
      <c r="B55" t="s">
        <v>89</v>
      </c>
      <c r="C55">
        <v>-0.77400000000000002</v>
      </c>
      <c r="D55">
        <v>6.3979999999999997</v>
      </c>
      <c r="E55">
        <v>6.9130000000000003</v>
      </c>
      <c r="F55">
        <v>0.72799999999999998</v>
      </c>
      <c r="G55">
        <v>10.5</v>
      </c>
      <c r="H55">
        <v>0</v>
      </c>
      <c r="I55">
        <v>0</v>
      </c>
    </row>
    <row r="56" spans="1:9">
      <c r="B56" t="s">
        <v>90</v>
      </c>
      <c r="C56">
        <v>-0.79</v>
      </c>
      <c r="D56">
        <v>7.4279999999999999</v>
      </c>
    </row>
    <row r="57" spans="1:9">
      <c r="A57" t="s">
        <v>91</v>
      </c>
      <c r="B57" t="s">
        <v>92</v>
      </c>
      <c r="C57">
        <v>-0.73499999999999999</v>
      </c>
      <c r="D57">
        <v>4.4889999999999999</v>
      </c>
      <c r="E57">
        <v>4.7450000000000001</v>
      </c>
      <c r="F57">
        <v>0.36199999999999999</v>
      </c>
      <c r="G57">
        <v>7.6</v>
      </c>
      <c r="H57">
        <v>0</v>
      </c>
      <c r="I57">
        <v>0</v>
      </c>
    </row>
    <row r="58" spans="1:9">
      <c r="B58" t="s">
        <v>93</v>
      </c>
      <c r="C58">
        <v>-0.747</v>
      </c>
      <c r="D58">
        <v>5</v>
      </c>
    </row>
    <row r="59" spans="1:9">
      <c r="A59" t="s">
        <v>94</v>
      </c>
      <c r="B59" t="s">
        <v>95</v>
      </c>
      <c r="C59">
        <v>-0.66300000000000003</v>
      </c>
      <c r="D59">
        <v>2.371</v>
      </c>
      <c r="E59">
        <v>2.5270000000000001</v>
      </c>
      <c r="F59">
        <v>0.221</v>
      </c>
      <c r="G59">
        <v>8.8000000000000007</v>
      </c>
      <c r="H59">
        <v>0</v>
      </c>
      <c r="I59">
        <v>0</v>
      </c>
    </row>
    <row r="60" spans="1:9">
      <c r="B60" t="s">
        <v>96</v>
      </c>
      <c r="C60">
        <v>-0.67700000000000005</v>
      </c>
      <c r="D60">
        <v>2.6840000000000002</v>
      </c>
    </row>
    <row r="61" spans="1:9">
      <c r="A61" t="s">
        <v>97</v>
      </c>
      <c r="B61" t="s">
        <v>98</v>
      </c>
      <c r="C61">
        <v>-0.66100000000000003</v>
      </c>
      <c r="D61">
        <v>2.3290000000000002</v>
      </c>
      <c r="E61">
        <v>2.13</v>
      </c>
      <c r="F61">
        <v>0.28100000000000003</v>
      </c>
      <c r="G61">
        <v>13.2</v>
      </c>
      <c r="H61">
        <v>0</v>
      </c>
      <c r="I61">
        <v>0</v>
      </c>
    </row>
    <row r="62" spans="1:9">
      <c r="B62" t="s">
        <v>99</v>
      </c>
      <c r="C62">
        <v>-0.64</v>
      </c>
      <c r="D62">
        <v>1.9319999999999999</v>
      </c>
    </row>
    <row r="63" spans="1:9">
      <c r="A63" t="s">
        <v>100</v>
      </c>
      <c r="B63" t="s">
        <v>101</v>
      </c>
      <c r="C63">
        <v>-0.748</v>
      </c>
      <c r="D63">
        <v>5.0460000000000003</v>
      </c>
      <c r="E63">
        <v>5.2859999999999996</v>
      </c>
      <c r="F63">
        <v>0.30499999999999999</v>
      </c>
      <c r="G63">
        <v>5.8</v>
      </c>
      <c r="H63">
        <v>0</v>
      </c>
      <c r="I63">
        <v>0</v>
      </c>
    </row>
    <row r="64" spans="1:9">
      <c r="B64" t="s">
        <v>102</v>
      </c>
      <c r="C64">
        <v>-0.75800000000000001</v>
      </c>
      <c r="D64">
        <v>5.524</v>
      </c>
    </row>
    <row r="65" spans="1:9">
      <c r="B65" t="s">
        <v>103</v>
      </c>
      <c r="C65">
        <v>-0.747</v>
      </c>
      <c r="D65">
        <v>5</v>
      </c>
    </row>
    <row r="66" spans="1:9">
      <c r="B66" t="s">
        <v>104</v>
      </c>
      <c r="C66">
        <v>-0.75900000000000001</v>
      </c>
      <c r="D66">
        <v>5.5750000000000002</v>
      </c>
    </row>
    <row r="67" spans="1:9">
      <c r="A67" t="s">
        <v>105</v>
      </c>
      <c r="B67" t="s">
        <v>106</v>
      </c>
      <c r="C67">
        <v>-0.76100000000000001</v>
      </c>
      <c r="D67">
        <v>5.6779999999999999</v>
      </c>
      <c r="E67">
        <v>5.2720000000000002</v>
      </c>
      <c r="F67">
        <v>0.57299999999999995</v>
      </c>
      <c r="G67">
        <v>10.9</v>
      </c>
      <c r="H67">
        <v>0</v>
      </c>
      <c r="I67">
        <v>0</v>
      </c>
    </row>
    <row r="68" spans="1:9">
      <c r="B68" t="s">
        <v>107</v>
      </c>
      <c r="C68">
        <v>-0.74399999999999999</v>
      </c>
      <c r="D68">
        <v>4.867</v>
      </c>
    </row>
    <row r="69" spans="1:9">
      <c r="A69" t="s">
        <v>108</v>
      </c>
      <c r="B69" t="s">
        <v>109</v>
      </c>
      <c r="C69">
        <v>-0.71199999999999997</v>
      </c>
      <c r="D69">
        <v>3.657</v>
      </c>
      <c r="E69">
        <v>3.2440000000000002</v>
      </c>
      <c r="F69">
        <v>0.58499999999999996</v>
      </c>
      <c r="G69">
        <v>18</v>
      </c>
      <c r="H69">
        <v>0</v>
      </c>
      <c r="I69">
        <v>0</v>
      </c>
    </row>
    <row r="70" spans="1:9">
      <c r="B70" t="s">
        <v>110</v>
      </c>
      <c r="C70">
        <v>-0.68300000000000005</v>
      </c>
      <c r="D70">
        <v>2.83</v>
      </c>
    </row>
    <row r="71" spans="1:9">
      <c r="A71" t="s">
        <v>111</v>
      </c>
      <c r="B71" t="s">
        <v>112</v>
      </c>
      <c r="C71">
        <v>-0.58399999999999996</v>
      </c>
      <c r="D71">
        <v>1.1559999999999999</v>
      </c>
      <c r="E71">
        <v>1.2370000000000001</v>
      </c>
      <c r="F71">
        <v>0.114</v>
      </c>
      <c r="G71">
        <v>9.1999999999999993</v>
      </c>
      <c r="H71">
        <v>0</v>
      </c>
      <c r="I71">
        <v>0</v>
      </c>
    </row>
    <row r="72" spans="1:9">
      <c r="B72" t="s">
        <v>113</v>
      </c>
      <c r="C72">
        <v>-0.59799999999999998</v>
      </c>
      <c r="D72">
        <v>1.3180000000000001</v>
      </c>
    </row>
    <row r="73" spans="1:9">
      <c r="A73" t="s">
        <v>114</v>
      </c>
      <c r="B73" t="s">
        <v>115</v>
      </c>
      <c r="C73">
        <v>-0.58499999999999996</v>
      </c>
      <c r="D73">
        <v>1.167</v>
      </c>
      <c r="E73">
        <v>1.1459999999999999</v>
      </c>
      <c r="F73">
        <v>3.1E-2</v>
      </c>
      <c r="G73">
        <v>2.7</v>
      </c>
      <c r="H73">
        <v>0</v>
      </c>
      <c r="I73">
        <v>0</v>
      </c>
    </row>
    <row r="74" spans="1:9">
      <c r="B74" t="s">
        <v>116</v>
      </c>
      <c r="C74">
        <v>-0.58099999999999996</v>
      </c>
      <c r="D74">
        <v>1.1240000000000001</v>
      </c>
    </row>
    <row r="75" spans="1:9">
      <c r="A75" t="s">
        <v>117</v>
      </c>
      <c r="B75" t="s">
        <v>118</v>
      </c>
      <c r="C75">
        <v>-0.63700000000000001</v>
      </c>
      <c r="D75">
        <v>1.88</v>
      </c>
      <c r="E75">
        <v>1.996</v>
      </c>
      <c r="F75">
        <v>0.16400000000000001</v>
      </c>
      <c r="G75">
        <v>8.1999999999999993</v>
      </c>
      <c r="H75">
        <v>0</v>
      </c>
      <c r="I75">
        <v>0</v>
      </c>
    </row>
    <row r="76" spans="1:9">
      <c r="B76" t="s">
        <v>119</v>
      </c>
      <c r="C76">
        <v>-0.65</v>
      </c>
      <c r="D76">
        <v>2.1120000000000001</v>
      </c>
    </row>
    <row r="77" spans="1:9">
      <c r="A77" t="s">
        <v>120</v>
      </c>
      <c r="B77" t="s">
        <v>121</v>
      </c>
      <c r="C77">
        <v>-0.627</v>
      </c>
      <c r="D77">
        <v>1.718</v>
      </c>
      <c r="E77">
        <v>1.734</v>
      </c>
      <c r="F77">
        <v>2.1999999999999999E-2</v>
      </c>
      <c r="G77">
        <v>1.3</v>
      </c>
      <c r="H77">
        <v>0</v>
      </c>
      <c r="I77">
        <v>0</v>
      </c>
    </row>
    <row r="78" spans="1:9">
      <c r="B78" t="s">
        <v>122</v>
      </c>
      <c r="C78">
        <v>-0.629</v>
      </c>
      <c r="D78">
        <v>1.75</v>
      </c>
    </row>
    <row r="80" spans="1:9">
      <c r="A80" t="s">
        <v>1</v>
      </c>
      <c r="B80" t="s">
        <v>4</v>
      </c>
      <c r="C80" t="s">
        <v>123</v>
      </c>
      <c r="D80" t="s">
        <v>2</v>
      </c>
      <c r="E80" t="s">
        <v>3</v>
      </c>
      <c r="F80" t="s">
        <v>124</v>
      </c>
      <c r="G80" t="s">
        <v>6</v>
      </c>
      <c r="H80" t="s">
        <v>7</v>
      </c>
    </row>
    <row r="81" spans="1:8">
      <c r="A81" t="s">
        <v>125</v>
      </c>
      <c r="B81">
        <v>200</v>
      </c>
      <c r="C81">
        <v>133.63999999999999</v>
      </c>
      <c r="D81" t="s">
        <v>126</v>
      </c>
      <c r="E81">
        <v>-1.0089999999999999</v>
      </c>
      <c r="F81">
        <v>-1.0189999999999999</v>
      </c>
      <c r="G81">
        <v>1.2999999999999999E-2</v>
      </c>
      <c r="H81">
        <v>1.3</v>
      </c>
    </row>
    <row r="82" spans="1:8">
      <c r="C82">
        <v>215.684</v>
      </c>
      <c r="D82" t="s">
        <v>127</v>
      </c>
      <c r="E82">
        <v>-1.028</v>
      </c>
    </row>
    <row r="83" spans="1:8">
      <c r="A83" t="s">
        <v>128</v>
      </c>
      <c r="B83">
        <v>100</v>
      </c>
      <c r="C83">
        <v>122.24</v>
      </c>
      <c r="D83" t="s">
        <v>129</v>
      </c>
      <c r="E83">
        <v>-1.0049999999999999</v>
      </c>
      <c r="F83">
        <v>-1.0029999999999999</v>
      </c>
      <c r="G83">
        <v>4.0000000000000001E-3</v>
      </c>
      <c r="H83">
        <v>0.4</v>
      </c>
    </row>
    <row r="84" spans="1:8">
      <c r="C84">
        <v>109.846</v>
      </c>
      <c r="D84" t="s">
        <v>130</v>
      </c>
      <c r="E84">
        <v>-1</v>
      </c>
    </row>
    <row r="85" spans="1:8">
      <c r="A85" t="s">
        <v>131</v>
      </c>
      <c r="B85">
        <v>50</v>
      </c>
      <c r="C85">
        <v>69.584999999999994</v>
      </c>
      <c r="D85" t="s">
        <v>132</v>
      </c>
      <c r="E85">
        <v>-0.97599999999999998</v>
      </c>
      <c r="F85">
        <v>-0.96899999999999997</v>
      </c>
      <c r="G85">
        <v>1.0999999999999999E-2</v>
      </c>
      <c r="H85">
        <v>1.1000000000000001</v>
      </c>
    </row>
    <row r="86" spans="1:8">
      <c r="C86">
        <v>54.256</v>
      </c>
      <c r="D86" t="s">
        <v>133</v>
      </c>
      <c r="E86">
        <v>-0.96099999999999997</v>
      </c>
    </row>
    <row r="87" spans="1:8">
      <c r="A87" t="s">
        <v>134</v>
      </c>
      <c r="B87">
        <v>25</v>
      </c>
      <c r="C87">
        <v>24.396999999999998</v>
      </c>
      <c r="D87" t="s">
        <v>135</v>
      </c>
      <c r="E87">
        <v>-0.90300000000000002</v>
      </c>
      <c r="F87">
        <v>-0.89100000000000001</v>
      </c>
      <c r="G87">
        <v>1.7999999999999999E-2</v>
      </c>
      <c r="H87">
        <v>2</v>
      </c>
    </row>
    <row r="88" spans="1:8">
      <c r="C88">
        <v>18.213000000000001</v>
      </c>
      <c r="D88" t="s">
        <v>136</v>
      </c>
      <c r="E88">
        <v>-0.878</v>
      </c>
    </row>
    <row r="89" spans="1:8">
      <c r="A89" t="s">
        <v>137</v>
      </c>
      <c r="B89">
        <v>12.5</v>
      </c>
      <c r="C89">
        <v>12.631</v>
      </c>
      <c r="D89" t="s">
        <v>138</v>
      </c>
      <c r="E89">
        <v>-0.84399999999999997</v>
      </c>
      <c r="F89">
        <v>-0.83599999999999997</v>
      </c>
      <c r="G89">
        <v>1.2E-2</v>
      </c>
      <c r="H89">
        <v>1.4</v>
      </c>
    </row>
    <row r="90" spans="1:8">
      <c r="C90">
        <v>10.628</v>
      </c>
      <c r="D90" t="s">
        <v>139</v>
      </c>
      <c r="E90">
        <v>-0.82699999999999996</v>
      </c>
    </row>
    <row r="91" spans="1:8">
      <c r="A91" t="s">
        <v>140</v>
      </c>
      <c r="B91">
        <v>6.25</v>
      </c>
      <c r="C91">
        <v>6.9560000000000004</v>
      </c>
      <c r="D91" t="s">
        <v>141</v>
      </c>
      <c r="E91">
        <v>-0.78300000000000003</v>
      </c>
      <c r="F91">
        <v>-0.77900000000000003</v>
      </c>
      <c r="G91">
        <v>6.0000000000000001E-3</v>
      </c>
      <c r="H91">
        <v>0.7</v>
      </c>
    </row>
    <row r="92" spans="1:8">
      <c r="C92">
        <v>6.4569999999999999</v>
      </c>
      <c r="D92" t="s">
        <v>142</v>
      </c>
      <c r="E92">
        <v>-0.77500000000000002</v>
      </c>
    </row>
    <row r="93" spans="1:8">
      <c r="A93" t="s">
        <v>143</v>
      </c>
      <c r="B93">
        <v>3.125</v>
      </c>
      <c r="C93">
        <v>3.347</v>
      </c>
      <c r="D93" t="s">
        <v>144</v>
      </c>
      <c r="E93">
        <v>-0.70199999999999996</v>
      </c>
      <c r="F93">
        <v>-0.70099999999999996</v>
      </c>
      <c r="G93">
        <v>1E-3</v>
      </c>
      <c r="H93">
        <v>0.2</v>
      </c>
    </row>
    <row r="94" spans="1:8">
      <c r="C94">
        <v>3.2890000000000001</v>
      </c>
      <c r="D94" t="s">
        <v>145</v>
      </c>
      <c r="E94">
        <v>-0.7</v>
      </c>
    </row>
    <row r="95" spans="1:8">
      <c r="A95" t="s">
        <v>146</v>
      </c>
      <c r="B95">
        <v>1.5629999999999999</v>
      </c>
      <c r="C95">
        <v>1.4590000000000001</v>
      </c>
      <c r="D95" t="s">
        <v>147</v>
      </c>
      <c r="E95">
        <v>-0.60899999999999999</v>
      </c>
      <c r="F95">
        <v>-0.61099999999999999</v>
      </c>
      <c r="G95">
        <v>3.0000000000000001E-3</v>
      </c>
      <c r="H95">
        <v>0.5</v>
      </c>
    </row>
    <row r="96" spans="1:8">
      <c r="C96">
        <v>1.5129999999999999</v>
      </c>
      <c r="D96" t="s">
        <v>148</v>
      </c>
      <c r="E96">
        <v>-0.61299999999999999</v>
      </c>
    </row>
    <row r="97" spans="1:8">
      <c r="A97" t="s">
        <v>149</v>
      </c>
      <c r="B97">
        <v>0</v>
      </c>
      <c r="C97">
        <v>0</v>
      </c>
      <c r="D97" t="s">
        <v>150</v>
      </c>
      <c r="E97">
        <v>-0.28100000000000003</v>
      </c>
      <c r="F97">
        <v>-0.27700000000000002</v>
      </c>
      <c r="G97">
        <v>6.0000000000000001E-3</v>
      </c>
      <c r="H97">
        <v>2.2999999999999998</v>
      </c>
    </row>
    <row r="98" spans="1:8">
      <c r="C98" t="s">
        <v>151</v>
      </c>
      <c r="D98" t="s">
        <v>152</v>
      </c>
      <c r="E98">
        <v>-0.27200000000000002</v>
      </c>
    </row>
  </sheetData>
  <pageMargins left="0" right="0" top="0.39369999999999999" bottom="0.39369999999999999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E9F0-5149-784B-B810-A70E287C42F5}">
  <dimension ref="A1:M60"/>
  <sheetViews>
    <sheetView tabSelected="1" workbookViewId="0"/>
  </sheetViews>
  <sheetFormatPr baseColWidth="10" defaultRowHeight="16"/>
  <cols>
    <col min="1" max="7" width="14.1640625" customWidth="1"/>
    <col min="8" max="11" width="10.83203125" customWidth="1"/>
    <col min="12" max="12" width="14.6640625" bestFit="1" customWidth="1"/>
    <col min="13" max="13" width="10.83203125" customWidth="1"/>
  </cols>
  <sheetData>
    <row r="1" spans="1:13">
      <c r="A1" t="s">
        <v>0</v>
      </c>
    </row>
    <row r="2" spans="1:13">
      <c r="A2" t="s">
        <v>1</v>
      </c>
      <c r="B2" t="s">
        <v>153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3">
      <c r="A3" t="s">
        <v>10</v>
      </c>
      <c r="B3" t="s">
        <v>154</v>
      </c>
      <c r="C3" t="s">
        <v>11</v>
      </c>
      <c r="D3">
        <v>-0.79700000000000004</v>
      </c>
      <c r="E3">
        <v>7.9370000000000003</v>
      </c>
      <c r="F3">
        <v>9.0749999999999993</v>
      </c>
      <c r="G3">
        <v>1.61</v>
      </c>
      <c r="L3" t="s">
        <v>155</v>
      </c>
      <c r="M3" t="s">
        <v>156</v>
      </c>
    </row>
    <row r="4" spans="1:13">
      <c r="A4" t="s">
        <v>13</v>
      </c>
      <c r="B4" t="s">
        <v>154</v>
      </c>
      <c r="C4" t="s">
        <v>14</v>
      </c>
      <c r="D4">
        <v>-0.50600000000000001</v>
      </c>
      <c r="E4">
        <v>0.52600000000000002</v>
      </c>
      <c r="F4">
        <v>0.65100000000000002</v>
      </c>
      <c r="G4">
        <v>0.17699999999999999</v>
      </c>
      <c r="K4" t="s">
        <v>154</v>
      </c>
      <c r="L4">
        <f>AVERAGE(F3:F11)</f>
        <v>3.7611111111111111</v>
      </c>
      <c r="M4">
        <f>_xlfn.STDEV.S(F3:F11)/SQRT(COUNT(F3:F11))</f>
        <v>0.95074440782596537</v>
      </c>
    </row>
    <row r="5" spans="1:13">
      <c r="A5" t="s">
        <v>16</v>
      </c>
      <c r="B5" t="s">
        <v>154</v>
      </c>
      <c r="C5" t="s">
        <v>17</v>
      </c>
      <c r="D5">
        <v>-0.59599999999999997</v>
      </c>
      <c r="E5">
        <v>1.294</v>
      </c>
      <c r="F5">
        <v>1.331</v>
      </c>
      <c r="G5">
        <v>5.1999999999999998E-2</v>
      </c>
      <c r="K5" t="s">
        <v>157</v>
      </c>
      <c r="L5">
        <f>AVERAGE(F21:F30)</f>
        <v>3.0213000000000005</v>
      </c>
      <c r="M5">
        <f>_xlfn.STDEV.S(F21:F30)/SQRT(COUNT(F21:F30))</f>
        <v>0.36108090967722589</v>
      </c>
    </row>
    <row r="6" spans="1:13">
      <c r="A6" t="s">
        <v>19</v>
      </c>
      <c r="B6" t="s">
        <v>154</v>
      </c>
      <c r="C6" t="s">
        <v>20</v>
      </c>
      <c r="D6">
        <v>-0.76</v>
      </c>
      <c r="E6">
        <v>5.6260000000000003</v>
      </c>
      <c r="F6">
        <v>5.758</v>
      </c>
      <c r="G6">
        <v>0.186</v>
      </c>
      <c r="K6" t="s">
        <v>158</v>
      </c>
      <c r="L6">
        <f>AVERAGE(F12:F20)</f>
        <v>2.9867222222222218</v>
      </c>
      <c r="M6">
        <f>_xlfn.STDEV.S(F12:F20)/SQRT(COUNT(F12:F20))</f>
        <v>0.59383747958552935</v>
      </c>
    </row>
    <row r="7" spans="1:13">
      <c r="A7" t="s">
        <v>22</v>
      </c>
      <c r="B7" t="s">
        <v>154</v>
      </c>
      <c r="C7" t="s">
        <v>23</v>
      </c>
      <c r="D7">
        <v>-0.68300000000000005</v>
      </c>
      <c r="E7">
        <v>2.83</v>
      </c>
      <c r="F7">
        <v>2.907</v>
      </c>
      <c r="G7">
        <v>0.109</v>
      </c>
      <c r="K7" t="s">
        <v>159</v>
      </c>
      <c r="L7">
        <f>AVERAGE(F31:F40)</f>
        <v>4.4666999999999994</v>
      </c>
      <c r="M7">
        <f>_xlfn.STDEV.S(F31:F40)/SQRT(COUNT(F31:F40))</f>
        <v>0.64325609294519037</v>
      </c>
    </row>
    <row r="8" spans="1:13">
      <c r="A8" t="s">
        <v>85</v>
      </c>
      <c r="B8" t="s">
        <v>154</v>
      </c>
      <c r="C8" t="s">
        <v>86</v>
      </c>
      <c r="D8">
        <v>-0.629</v>
      </c>
      <c r="E8">
        <v>1.75</v>
      </c>
      <c r="F8">
        <v>1.841</v>
      </c>
      <c r="G8">
        <v>0.129</v>
      </c>
    </row>
    <row r="9" spans="1:13">
      <c r="A9" t="s">
        <v>88</v>
      </c>
      <c r="B9" t="s">
        <v>154</v>
      </c>
      <c r="C9" t="s">
        <v>89</v>
      </c>
      <c r="D9">
        <v>-0.77400000000000002</v>
      </c>
      <c r="E9">
        <v>6.3979999999999997</v>
      </c>
      <c r="F9">
        <v>6.9130000000000003</v>
      </c>
      <c r="G9">
        <v>0.72799999999999998</v>
      </c>
      <c r="M9" t="s">
        <v>160</v>
      </c>
    </row>
    <row r="10" spans="1:13">
      <c r="A10" t="s">
        <v>97</v>
      </c>
      <c r="B10" t="s">
        <v>154</v>
      </c>
      <c r="C10" t="s">
        <v>98</v>
      </c>
      <c r="D10">
        <v>-0.66100000000000003</v>
      </c>
      <c r="E10">
        <v>2.3290000000000002</v>
      </c>
      <c r="F10">
        <v>2.13</v>
      </c>
      <c r="G10">
        <v>0.28100000000000003</v>
      </c>
      <c r="I10" t="s">
        <v>155</v>
      </c>
      <c r="J10" t="s">
        <v>161</v>
      </c>
      <c r="L10" t="s">
        <v>162</v>
      </c>
      <c r="M10">
        <v>0.45914139102320228</v>
      </c>
    </row>
    <row r="11" spans="1:13">
      <c r="A11" t="s">
        <v>108</v>
      </c>
      <c r="B11" t="s">
        <v>154</v>
      </c>
      <c r="C11" t="s">
        <v>109</v>
      </c>
      <c r="D11">
        <v>-0.71199999999999997</v>
      </c>
      <c r="E11">
        <v>3.657</v>
      </c>
      <c r="F11">
        <v>3.2440000000000002</v>
      </c>
      <c r="G11">
        <v>0.58499999999999996</v>
      </c>
      <c r="I11">
        <f>AVERAGE(F3:F11)</f>
        <v>3.7611111111111111</v>
      </c>
      <c r="J11">
        <f>TTEST(F3:F11,F21:F30,2,2)</f>
        <v>0.45914139102320228</v>
      </c>
      <c r="L11" t="s">
        <v>163</v>
      </c>
      <c r="M11">
        <v>0.11160389345528861</v>
      </c>
    </row>
    <row r="12" spans="1:13">
      <c r="A12" t="s">
        <v>25</v>
      </c>
      <c r="B12" t="s">
        <v>158</v>
      </c>
      <c r="C12" t="s">
        <v>26</v>
      </c>
      <c r="D12">
        <v>-0.58599999999999997</v>
      </c>
      <c r="E12">
        <v>1.1779999999999999</v>
      </c>
      <c r="F12">
        <v>1.5289999999999999</v>
      </c>
      <c r="G12">
        <v>0.496</v>
      </c>
      <c r="L12" t="s">
        <v>164</v>
      </c>
      <c r="M12">
        <v>6.5737728919140953E-2</v>
      </c>
    </row>
    <row r="13" spans="1:13">
      <c r="A13" t="s">
        <v>28</v>
      </c>
      <c r="B13" t="s">
        <v>158</v>
      </c>
      <c r="C13" t="s">
        <v>29</v>
      </c>
      <c r="D13">
        <v>-0.70199999999999996</v>
      </c>
      <c r="E13">
        <v>3.347</v>
      </c>
      <c r="F13">
        <v>4.1289999999999996</v>
      </c>
      <c r="G13">
        <v>1.1060000000000001</v>
      </c>
    </row>
    <row r="14" spans="1:13">
      <c r="A14" t="s">
        <v>82</v>
      </c>
      <c r="B14" t="s">
        <v>158</v>
      </c>
      <c r="C14" t="s">
        <v>83</v>
      </c>
      <c r="D14">
        <v>-0.73499999999999999</v>
      </c>
      <c r="E14">
        <v>4.4889999999999999</v>
      </c>
      <c r="F14">
        <v>4.55</v>
      </c>
      <c r="G14">
        <v>8.6999999999999994E-2</v>
      </c>
    </row>
    <row r="15" spans="1:13">
      <c r="A15" t="s">
        <v>165</v>
      </c>
      <c r="B15" t="s">
        <v>158</v>
      </c>
      <c r="C15" t="s">
        <v>103</v>
      </c>
      <c r="D15">
        <v>-0.747</v>
      </c>
      <c r="E15">
        <v>5</v>
      </c>
      <c r="F15">
        <v>5.2874999999999996</v>
      </c>
    </row>
    <row r="16" spans="1:13">
      <c r="A16" t="s">
        <v>105</v>
      </c>
      <c r="B16" t="s">
        <v>158</v>
      </c>
      <c r="C16" t="s">
        <v>106</v>
      </c>
      <c r="D16">
        <v>-0.76100000000000001</v>
      </c>
      <c r="E16">
        <v>5.6779999999999999</v>
      </c>
      <c r="F16">
        <v>5.2720000000000002</v>
      </c>
      <c r="G16">
        <v>0.57299999999999995</v>
      </c>
    </row>
    <row r="17" spans="1:10">
      <c r="A17" t="s">
        <v>111</v>
      </c>
      <c r="B17" t="s">
        <v>158</v>
      </c>
      <c r="C17" t="s">
        <v>112</v>
      </c>
      <c r="D17">
        <v>-0.58399999999999996</v>
      </c>
      <c r="E17">
        <v>1.1559999999999999</v>
      </c>
      <c r="F17">
        <v>1.2370000000000001</v>
      </c>
      <c r="G17">
        <v>0.114</v>
      </c>
    </row>
    <row r="18" spans="1:10">
      <c r="A18" t="s">
        <v>114</v>
      </c>
      <c r="B18" t="s">
        <v>158</v>
      </c>
      <c r="C18" t="s">
        <v>115</v>
      </c>
      <c r="D18">
        <v>-0.58499999999999996</v>
      </c>
      <c r="E18">
        <v>1.167</v>
      </c>
      <c r="F18">
        <v>1.1459999999999999</v>
      </c>
      <c r="G18">
        <v>3.1E-2</v>
      </c>
    </row>
    <row r="19" spans="1:10">
      <c r="A19" t="s">
        <v>117</v>
      </c>
      <c r="B19" t="s">
        <v>158</v>
      </c>
      <c r="C19" t="s">
        <v>118</v>
      </c>
      <c r="D19">
        <v>-0.63700000000000001</v>
      </c>
      <c r="E19">
        <v>1.88</v>
      </c>
      <c r="F19">
        <v>1.996</v>
      </c>
      <c r="G19">
        <v>0.16400000000000001</v>
      </c>
      <c r="I19" t="s">
        <v>155</v>
      </c>
      <c r="J19" t="s">
        <v>163</v>
      </c>
    </row>
    <row r="20" spans="1:10">
      <c r="A20" t="s">
        <v>120</v>
      </c>
      <c r="B20" t="s">
        <v>158</v>
      </c>
      <c r="C20" t="s">
        <v>121</v>
      </c>
      <c r="D20">
        <v>-0.627</v>
      </c>
      <c r="E20">
        <v>1.718</v>
      </c>
      <c r="F20">
        <v>1.734</v>
      </c>
      <c r="G20">
        <v>2.1999999999999999E-2</v>
      </c>
      <c r="I20">
        <f>AVERAGE(F12:F20)</f>
        <v>2.9867222222222218</v>
      </c>
      <c r="J20">
        <f>TTEST(F12:F20,F31:F40,2,2)</f>
        <v>0.11160389345528861</v>
      </c>
    </row>
    <row r="21" spans="1:10">
      <c r="A21" t="s">
        <v>31</v>
      </c>
      <c r="B21" t="s">
        <v>157</v>
      </c>
      <c r="C21" t="s">
        <v>32</v>
      </c>
      <c r="D21">
        <v>-0.67100000000000004</v>
      </c>
      <c r="E21">
        <v>2.5449999999999999</v>
      </c>
      <c r="F21">
        <v>2.6379999999999999</v>
      </c>
      <c r="G21">
        <v>0.13200000000000001</v>
      </c>
    </row>
    <row r="22" spans="1:10">
      <c r="A22" t="s">
        <v>34</v>
      </c>
      <c r="B22" t="s">
        <v>157</v>
      </c>
      <c r="C22" t="s">
        <v>35</v>
      </c>
      <c r="D22">
        <v>-0.68600000000000005</v>
      </c>
      <c r="E22">
        <v>2.9060000000000001</v>
      </c>
      <c r="F22">
        <v>2.9060000000000001</v>
      </c>
      <c r="G22">
        <v>0</v>
      </c>
    </row>
    <row r="23" spans="1:10">
      <c r="A23" t="s">
        <v>37</v>
      </c>
      <c r="B23" t="s">
        <v>157</v>
      </c>
      <c r="C23" t="s">
        <v>38</v>
      </c>
      <c r="D23">
        <v>-0.628</v>
      </c>
      <c r="E23">
        <v>1.734</v>
      </c>
      <c r="F23">
        <v>1.6659999999999999</v>
      </c>
      <c r="G23">
        <v>9.6000000000000002E-2</v>
      </c>
    </row>
    <row r="24" spans="1:10">
      <c r="A24" t="s">
        <v>40</v>
      </c>
      <c r="B24" t="s">
        <v>157</v>
      </c>
      <c r="C24" t="s">
        <v>41</v>
      </c>
      <c r="D24">
        <v>-0.64700000000000002</v>
      </c>
      <c r="E24">
        <v>2.056</v>
      </c>
      <c r="F24">
        <v>2.0470000000000002</v>
      </c>
      <c r="G24">
        <v>1.2999999999999999E-2</v>
      </c>
    </row>
    <row r="25" spans="1:10">
      <c r="A25" t="s">
        <v>43</v>
      </c>
      <c r="B25" t="s">
        <v>157</v>
      </c>
      <c r="C25" t="s">
        <v>44</v>
      </c>
      <c r="D25">
        <v>-0.67400000000000004</v>
      </c>
      <c r="E25">
        <v>2.613</v>
      </c>
      <c r="F25">
        <v>2.7850000000000001</v>
      </c>
      <c r="G25">
        <v>0.24299999999999999</v>
      </c>
    </row>
    <row r="26" spans="1:10">
      <c r="A26" t="s">
        <v>46</v>
      </c>
      <c r="B26" t="s">
        <v>157</v>
      </c>
      <c r="C26" t="s">
        <v>47</v>
      </c>
      <c r="D26">
        <v>-0.69499999999999995</v>
      </c>
      <c r="E26">
        <v>3.1459999999999999</v>
      </c>
      <c r="F26">
        <v>3.16</v>
      </c>
      <c r="G26">
        <v>0.02</v>
      </c>
    </row>
    <row r="27" spans="1:10">
      <c r="A27" t="s">
        <v>49</v>
      </c>
      <c r="B27" t="s">
        <v>157</v>
      </c>
      <c r="C27" t="s">
        <v>50</v>
      </c>
      <c r="D27">
        <v>-0.66600000000000004</v>
      </c>
      <c r="E27">
        <v>2.4350000000000001</v>
      </c>
      <c r="F27">
        <v>2.4449999999999998</v>
      </c>
      <c r="G27">
        <v>1.4999999999999999E-2</v>
      </c>
    </row>
    <row r="28" spans="1:10">
      <c r="A28" t="s">
        <v>79</v>
      </c>
      <c r="B28" t="s">
        <v>157</v>
      </c>
      <c r="C28" t="s">
        <v>80</v>
      </c>
      <c r="D28">
        <v>-0.745</v>
      </c>
      <c r="E28">
        <v>4.9109999999999996</v>
      </c>
      <c r="F28">
        <v>5.2939999999999996</v>
      </c>
      <c r="G28">
        <v>0.54200000000000004</v>
      </c>
    </row>
    <row r="29" spans="1:10">
      <c r="A29" t="s">
        <v>91</v>
      </c>
      <c r="B29" t="s">
        <v>157</v>
      </c>
      <c r="C29" t="s">
        <v>92</v>
      </c>
      <c r="D29">
        <v>-0.73499999999999999</v>
      </c>
      <c r="E29">
        <v>4.4889999999999999</v>
      </c>
      <c r="F29">
        <v>4.7450000000000001</v>
      </c>
      <c r="G29">
        <v>0.36199999999999999</v>
      </c>
      <c r="I29" t="s">
        <v>155</v>
      </c>
    </row>
    <row r="30" spans="1:10">
      <c r="A30" t="s">
        <v>94</v>
      </c>
      <c r="B30" t="s">
        <v>157</v>
      </c>
      <c r="C30" t="s">
        <v>95</v>
      </c>
      <c r="D30">
        <v>-0.66300000000000003</v>
      </c>
      <c r="E30">
        <v>2.371</v>
      </c>
      <c r="F30">
        <v>2.5270000000000001</v>
      </c>
      <c r="G30">
        <v>0.221</v>
      </c>
      <c r="I30">
        <f>AVERAGE(F21:F30)</f>
        <v>3.0213000000000005</v>
      </c>
    </row>
    <row r="31" spans="1:10">
      <c r="A31" t="s">
        <v>52</v>
      </c>
      <c r="B31" t="s">
        <v>159</v>
      </c>
      <c r="C31" t="s">
        <v>53</v>
      </c>
      <c r="D31">
        <v>-0.69199999999999995</v>
      </c>
      <c r="E31">
        <v>3.0640000000000001</v>
      </c>
      <c r="F31">
        <v>2.8980000000000001</v>
      </c>
      <c r="G31">
        <v>0.23499999999999999</v>
      </c>
    </row>
    <row r="32" spans="1:10">
      <c r="A32" t="s">
        <v>55</v>
      </c>
      <c r="B32" t="s">
        <v>159</v>
      </c>
      <c r="C32" t="s">
        <v>56</v>
      </c>
      <c r="D32">
        <v>-0.67200000000000004</v>
      </c>
      <c r="E32">
        <v>2.5670000000000002</v>
      </c>
      <c r="F32">
        <v>2.512</v>
      </c>
      <c r="G32">
        <v>7.9000000000000001E-2</v>
      </c>
    </row>
    <row r="33" spans="1:10">
      <c r="A33" t="s">
        <v>58</v>
      </c>
      <c r="B33" t="s">
        <v>159</v>
      </c>
      <c r="C33" t="s">
        <v>59</v>
      </c>
      <c r="D33">
        <v>-0.72099999999999997</v>
      </c>
      <c r="E33">
        <v>3.9620000000000002</v>
      </c>
      <c r="F33">
        <v>4.0519999999999996</v>
      </c>
      <c r="G33">
        <v>0.128</v>
      </c>
    </row>
    <row r="34" spans="1:10">
      <c r="A34" t="s">
        <v>61</v>
      </c>
      <c r="B34" t="s">
        <v>159</v>
      </c>
      <c r="C34" t="s">
        <v>62</v>
      </c>
      <c r="D34">
        <v>-0.65200000000000002</v>
      </c>
      <c r="E34">
        <v>2.15</v>
      </c>
      <c r="F34">
        <v>2.1309999999999998</v>
      </c>
      <c r="G34">
        <v>2.7E-2</v>
      </c>
    </row>
    <row r="35" spans="1:10">
      <c r="A35" t="s">
        <v>64</v>
      </c>
      <c r="B35" t="s">
        <v>159</v>
      </c>
      <c r="C35" t="s">
        <v>65</v>
      </c>
      <c r="D35">
        <v>-0.73599999999999999</v>
      </c>
      <c r="E35">
        <v>4.5289999999999999</v>
      </c>
      <c r="F35">
        <v>4.3540000000000001</v>
      </c>
      <c r="G35">
        <v>0.248</v>
      </c>
    </row>
    <row r="36" spans="1:10">
      <c r="A36" t="s">
        <v>67</v>
      </c>
      <c r="B36" t="s">
        <v>159</v>
      </c>
      <c r="C36" t="s">
        <v>68</v>
      </c>
      <c r="D36">
        <v>-0.82599999999999996</v>
      </c>
      <c r="E36">
        <v>10.523</v>
      </c>
      <c r="F36">
        <v>9.1549999999999994</v>
      </c>
      <c r="G36">
        <v>1.9339999999999999</v>
      </c>
    </row>
    <row r="37" spans="1:10">
      <c r="A37" t="s">
        <v>70</v>
      </c>
      <c r="B37" t="s">
        <v>159</v>
      </c>
      <c r="C37" t="s">
        <v>71</v>
      </c>
      <c r="D37">
        <v>-0.74399999999999999</v>
      </c>
      <c r="E37">
        <v>4.867</v>
      </c>
      <c r="F37">
        <v>4.5609999999999999</v>
      </c>
      <c r="G37">
        <v>0.433</v>
      </c>
    </row>
    <row r="38" spans="1:10">
      <c r="A38" t="s">
        <v>73</v>
      </c>
      <c r="B38" t="s">
        <v>159</v>
      </c>
      <c r="C38" t="s">
        <v>74</v>
      </c>
      <c r="D38">
        <v>-0.77900000000000003</v>
      </c>
      <c r="E38">
        <v>6.7009999999999996</v>
      </c>
      <c r="F38">
        <v>5.9429999999999996</v>
      </c>
      <c r="G38">
        <v>1.073</v>
      </c>
    </row>
    <row r="39" spans="1:10">
      <c r="A39" t="s">
        <v>76</v>
      </c>
      <c r="B39" t="s">
        <v>159</v>
      </c>
      <c r="C39" t="s">
        <v>77</v>
      </c>
      <c r="D39">
        <v>-0.71199999999999997</v>
      </c>
      <c r="E39">
        <v>3.657</v>
      </c>
      <c r="F39">
        <v>3.7749999999999999</v>
      </c>
      <c r="G39">
        <v>0.16600000000000001</v>
      </c>
      <c r="I39" t="s">
        <v>155</v>
      </c>
      <c r="J39" t="s">
        <v>164</v>
      </c>
    </row>
    <row r="40" spans="1:10">
      <c r="A40" t="s">
        <v>100</v>
      </c>
      <c r="B40" t="s">
        <v>159</v>
      </c>
      <c r="C40" t="s">
        <v>101</v>
      </c>
      <c r="D40">
        <v>-0.748</v>
      </c>
      <c r="E40">
        <v>5.0460000000000003</v>
      </c>
      <c r="F40">
        <v>5.2859999999999996</v>
      </c>
      <c r="G40">
        <v>0.30499999999999999</v>
      </c>
      <c r="I40">
        <f>AVERAGE(F31:F40)</f>
        <v>4.4666999999999994</v>
      </c>
      <c r="J40">
        <f>TTEST(F31:F40,F21:F30,2,2)</f>
        <v>6.5737728919140953E-2</v>
      </c>
    </row>
    <row r="42" spans="1:10">
      <c r="A42" t="s">
        <v>1</v>
      </c>
      <c r="C42" t="s">
        <v>4</v>
      </c>
      <c r="D42" t="s">
        <v>123</v>
      </c>
      <c r="E42" t="s">
        <v>2</v>
      </c>
      <c r="F42" t="s">
        <v>3</v>
      </c>
      <c r="G42" t="s">
        <v>124</v>
      </c>
    </row>
    <row r="43" spans="1:10">
      <c r="A43" t="s">
        <v>125</v>
      </c>
      <c r="C43">
        <v>200</v>
      </c>
      <c r="D43">
        <v>133.63999999999999</v>
      </c>
      <c r="E43" t="s">
        <v>126</v>
      </c>
      <c r="F43">
        <v>-1.0089999999999999</v>
      </c>
      <c r="G43">
        <v>-1.0189999999999999</v>
      </c>
    </row>
    <row r="44" spans="1:10">
      <c r="D44">
        <v>215.684</v>
      </c>
      <c r="E44" t="s">
        <v>127</v>
      </c>
      <c r="F44">
        <v>-1.028</v>
      </c>
    </row>
    <row r="45" spans="1:10">
      <c r="A45" t="s">
        <v>128</v>
      </c>
      <c r="C45">
        <v>100</v>
      </c>
      <c r="D45">
        <v>122.24</v>
      </c>
      <c r="E45" t="s">
        <v>129</v>
      </c>
      <c r="F45">
        <v>-1.0049999999999999</v>
      </c>
      <c r="G45">
        <v>-1.0029999999999999</v>
      </c>
    </row>
    <row r="46" spans="1:10">
      <c r="D46">
        <v>109.846</v>
      </c>
      <c r="E46" t="s">
        <v>130</v>
      </c>
      <c r="F46">
        <v>-1</v>
      </c>
    </row>
    <row r="47" spans="1:10">
      <c r="A47" t="s">
        <v>131</v>
      </c>
      <c r="C47">
        <v>50</v>
      </c>
      <c r="D47">
        <v>69.584999999999994</v>
      </c>
      <c r="E47" t="s">
        <v>132</v>
      </c>
      <c r="F47">
        <v>-0.97599999999999998</v>
      </c>
      <c r="G47">
        <v>-0.96899999999999997</v>
      </c>
    </row>
    <row r="48" spans="1:10">
      <c r="D48">
        <v>54.256</v>
      </c>
      <c r="E48" t="s">
        <v>133</v>
      </c>
      <c r="F48">
        <v>-0.96099999999999997</v>
      </c>
    </row>
    <row r="49" spans="1:7">
      <c r="A49" t="s">
        <v>134</v>
      </c>
      <c r="C49">
        <v>25</v>
      </c>
      <c r="D49">
        <v>24.396999999999998</v>
      </c>
      <c r="E49" t="s">
        <v>135</v>
      </c>
      <c r="F49">
        <v>-0.90300000000000002</v>
      </c>
      <c r="G49">
        <v>-0.89100000000000001</v>
      </c>
    </row>
    <row r="50" spans="1:7">
      <c r="D50">
        <v>18.213000000000001</v>
      </c>
      <c r="E50" t="s">
        <v>136</v>
      </c>
      <c r="F50">
        <v>-0.878</v>
      </c>
    </row>
    <row r="51" spans="1:7">
      <c r="A51" t="s">
        <v>137</v>
      </c>
      <c r="C51">
        <v>12.5</v>
      </c>
      <c r="D51">
        <v>12.631</v>
      </c>
      <c r="E51" t="s">
        <v>138</v>
      </c>
      <c r="F51">
        <v>-0.84399999999999997</v>
      </c>
      <c r="G51">
        <v>-0.83599999999999997</v>
      </c>
    </row>
    <row r="52" spans="1:7">
      <c r="D52">
        <v>10.628</v>
      </c>
      <c r="E52" t="s">
        <v>139</v>
      </c>
      <c r="F52">
        <v>-0.82699999999999996</v>
      </c>
    </row>
    <row r="53" spans="1:7">
      <c r="A53" t="s">
        <v>140</v>
      </c>
      <c r="C53">
        <v>6.25</v>
      </c>
      <c r="D53">
        <v>6.9560000000000004</v>
      </c>
      <c r="E53" t="s">
        <v>141</v>
      </c>
      <c r="F53">
        <v>-0.78300000000000003</v>
      </c>
      <c r="G53">
        <v>-0.77900000000000003</v>
      </c>
    </row>
    <row r="54" spans="1:7">
      <c r="D54">
        <v>6.4569999999999999</v>
      </c>
      <c r="E54" t="s">
        <v>142</v>
      </c>
      <c r="F54">
        <v>-0.77500000000000002</v>
      </c>
    </row>
    <row r="55" spans="1:7">
      <c r="A55" t="s">
        <v>143</v>
      </c>
      <c r="C55">
        <v>3.125</v>
      </c>
      <c r="D55">
        <v>3.347</v>
      </c>
      <c r="E55" t="s">
        <v>144</v>
      </c>
      <c r="F55">
        <v>-0.70199999999999996</v>
      </c>
      <c r="G55">
        <v>-0.70099999999999996</v>
      </c>
    </row>
    <row r="56" spans="1:7">
      <c r="D56">
        <v>3.2890000000000001</v>
      </c>
      <c r="E56" t="s">
        <v>145</v>
      </c>
      <c r="F56">
        <v>-0.7</v>
      </c>
    </row>
    <row r="57" spans="1:7">
      <c r="A57" t="s">
        <v>146</v>
      </c>
      <c r="C57">
        <v>1.5629999999999999</v>
      </c>
      <c r="D57">
        <v>1.4590000000000001</v>
      </c>
      <c r="E57" t="s">
        <v>147</v>
      </c>
      <c r="F57">
        <v>-0.60899999999999999</v>
      </c>
      <c r="G57">
        <v>-0.61099999999999999</v>
      </c>
    </row>
    <row r="58" spans="1:7">
      <c r="D58">
        <v>1.5129999999999999</v>
      </c>
      <c r="E58" t="s">
        <v>148</v>
      </c>
      <c r="F58">
        <v>-0.61299999999999999</v>
      </c>
    </row>
    <row r="59" spans="1:7">
      <c r="A59" t="s">
        <v>149</v>
      </c>
      <c r="C59">
        <v>0</v>
      </c>
      <c r="D59">
        <v>0</v>
      </c>
      <c r="E59" t="s">
        <v>150</v>
      </c>
      <c r="F59">
        <v>-0.28100000000000003</v>
      </c>
      <c r="G59">
        <v>-0.27700000000000002</v>
      </c>
    </row>
    <row r="60" spans="1:7">
      <c r="D60" t="s">
        <v>151</v>
      </c>
      <c r="E60" t="s">
        <v>152</v>
      </c>
      <c r="F60">
        <v>-0.27200000000000002</v>
      </c>
    </row>
  </sheetData>
  <autoFilter ref="A2:G40" xr:uid="{05C15419-62CE-E744-8909-97CF73C873F8}">
    <sortState xmlns:xlrd2="http://schemas.microsoft.com/office/spreadsheetml/2017/richdata2" ref="A4:G40">
      <sortCondition ref="B3:B40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7-14-23 HellbenderHNE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Mathes, Sam</cp:lastModifiedBy>
  <cp:revision>1</cp:revision>
  <dcterms:created xsi:type="dcterms:W3CDTF">2023-07-14T17:13:08Z</dcterms:created>
  <dcterms:modified xsi:type="dcterms:W3CDTF">2025-12-01T21:02:40Z</dcterms:modified>
</cp:coreProperties>
</file>